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apgemini-my.sharepoint.com/personal/sumathi_selvaraj_capgemini_com1/Documents/Desktop/"/>
    </mc:Choice>
  </mc:AlternateContent>
  <xr:revisionPtr revIDLastSave="303" documentId="8_{E0939D3F-F7CB-4F68-8311-A7E0FBD32A5D}" xr6:coauthVersionLast="47" xr6:coauthVersionMax="47" xr10:uidLastSave="{2AA806DF-7A4A-42E1-843A-0033A2309B6F}"/>
  <bookViews>
    <workbookView xWindow="-110" yWindow="-110" windowWidth="19420" windowHeight="11500" activeTab="2" xr2:uid="{00000000-000D-0000-FFFF-FFFF00000000}"/>
  </bookViews>
  <sheets>
    <sheet name="Employee sheet" sheetId="1" r:id="rId1"/>
    <sheet name="Description" sheetId="2" r:id="rId2"/>
    <sheet name="Step2" sheetId="4" r:id="rId3"/>
    <sheet name="Sheet3" sheetId="3" r:id="rId4"/>
  </sheet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2" i="4" l="1"/>
  <c r="I155" i="4"/>
  <c r="I154" i="4"/>
  <c r="G38" i="4"/>
  <c r="G35" i="4"/>
  <c r="G139" i="4"/>
  <c r="G145" i="4" s="1"/>
  <c r="G131" i="4"/>
  <c r="G121" i="4"/>
  <c r="G108" i="4"/>
  <c r="G114" i="4" s="1"/>
  <c r="G104" i="4"/>
  <c r="G100" i="4"/>
  <c r="G97" i="4"/>
  <c r="G103" i="4" s="1"/>
  <c r="G85" i="4"/>
  <c r="G76" i="4"/>
  <c r="G82" i="4" s="1"/>
  <c r="G74" i="4"/>
  <c r="G96" i="4"/>
  <c r="G43" i="4"/>
  <c r="G39" i="4"/>
  <c r="G45" i="4" s="1"/>
  <c r="G10" i="4"/>
  <c r="G11" i="4"/>
  <c r="G17" i="4" s="1"/>
  <c r="G8" i="4"/>
  <c r="G14" i="4" s="1"/>
  <c r="G20" i="4" s="1"/>
  <c r="G9" i="4"/>
  <c r="G15" i="4" s="1"/>
  <c r="G12" i="4"/>
  <c r="G18" i="4" s="1"/>
  <c r="G13" i="4"/>
  <c r="G19" i="4" s="1"/>
  <c r="E142" i="3"/>
  <c r="E122" i="3"/>
  <c r="E102" i="3"/>
  <c r="E82" i="3"/>
  <c r="E62" i="3"/>
  <c r="E42" i="3"/>
  <c r="E22" i="3"/>
  <c r="E2" i="3"/>
  <c r="G16" i="4" l="1"/>
  <c r="E62" i="4"/>
  <c r="E102" i="4"/>
  <c r="E82" i="4"/>
  <c r="E22" i="4"/>
  <c r="I156" i="4"/>
  <c r="E42" i="4"/>
  <c r="E2" i="4"/>
  <c r="E142" i="4"/>
</calcChain>
</file>

<file path=xl/sharedStrings.xml><?xml version="1.0" encoding="utf-8"?>
<sst xmlns="http://schemas.openxmlformats.org/spreadsheetml/2006/main" count="2453" uniqueCount="296">
  <si>
    <t>Employee ID</t>
  </si>
  <si>
    <t>Name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</si>
  <si>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</si>
  <si>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</si>
  <si>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</si>
  <si>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</si>
  <si>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</si>
  <si>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</si>
  <si>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</si>
  <si>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EMP1000</t>
  </si>
  <si>
    <t>EMP1001</t>
  </si>
  <si>
    <t>EMP1002</t>
  </si>
  <si>
    <t>EMP1003</t>
  </si>
  <si>
    <t>EMP1004</t>
  </si>
  <si>
    <t>EMP1005</t>
  </si>
  <si>
    <t>EMP1006</t>
  </si>
  <si>
    <t>EMP1007</t>
  </si>
  <si>
    <t>EMP1008</t>
  </si>
  <si>
    <t>EMP1009</t>
  </si>
  <si>
    <t>EMP1010</t>
  </si>
  <si>
    <t>EMP1011</t>
  </si>
  <si>
    <t>EMP1012</t>
  </si>
  <si>
    <t>EMP1013</t>
  </si>
  <si>
    <t>EMP1014</t>
  </si>
  <si>
    <t>EMP1015</t>
  </si>
  <si>
    <t>EMP1016</t>
  </si>
  <si>
    <t>EMP1017</t>
  </si>
  <si>
    <t>EMP1018</t>
  </si>
  <si>
    <t>EMP1019</t>
  </si>
  <si>
    <t>EMP1020</t>
  </si>
  <si>
    <t>EMP1021</t>
  </si>
  <si>
    <t>EMP1022</t>
  </si>
  <si>
    <t>EMP1023</t>
  </si>
  <si>
    <t>EMP1024</t>
  </si>
  <si>
    <t>EMP1025</t>
  </si>
  <si>
    <t>EMP1026</t>
  </si>
  <si>
    <t>EMP1027</t>
  </si>
  <si>
    <t>EMP1028</t>
  </si>
  <si>
    <t>EMP1029</t>
  </si>
  <si>
    <t>EMP1030</t>
  </si>
  <si>
    <t>EMP1031</t>
  </si>
  <si>
    <t>EMP1032</t>
  </si>
  <si>
    <t>EMP1033</t>
  </si>
  <si>
    <t>EMP1034</t>
  </si>
  <si>
    <t>EMP1035</t>
  </si>
  <si>
    <t>EMP1036</t>
  </si>
  <si>
    <t>EMP1037</t>
  </si>
  <si>
    <t>EMP1038</t>
  </si>
  <si>
    <t>EMP1039</t>
  </si>
  <si>
    <t>EMP1040</t>
  </si>
  <si>
    <t>EMP1041</t>
  </si>
  <si>
    <t>EMP1042</t>
  </si>
  <si>
    <t>EMP1043</t>
  </si>
  <si>
    <t>EMP1044</t>
  </si>
  <si>
    <t>EMP1045</t>
  </si>
  <si>
    <t>EMP1046</t>
  </si>
  <si>
    <t>EMP1047</t>
  </si>
  <si>
    <t>EMP1048</t>
  </si>
  <si>
    <t>EMP1049</t>
  </si>
  <si>
    <t>EMP1050</t>
  </si>
  <si>
    <t>EMP1051</t>
  </si>
  <si>
    <t>EMP1052</t>
  </si>
  <si>
    <t>EMP1053</t>
  </si>
  <si>
    <t>EMP1054</t>
  </si>
  <si>
    <t>EMP1055</t>
  </si>
  <si>
    <t>EMP1056</t>
  </si>
  <si>
    <t>EMP1057</t>
  </si>
  <si>
    <t>EMP1058</t>
  </si>
  <si>
    <t>EMP1059</t>
  </si>
  <si>
    <t>EMP1060</t>
  </si>
  <si>
    <t>EMP1061</t>
  </si>
  <si>
    <t>EMP1062</t>
  </si>
  <si>
    <t>EMP1063</t>
  </si>
  <si>
    <t>EMP1064</t>
  </si>
  <si>
    <t>EMP1065</t>
  </si>
  <si>
    <t>EMP1066</t>
  </si>
  <si>
    <t>EMP1067</t>
  </si>
  <si>
    <t>EMP1068</t>
  </si>
  <si>
    <t>EMP1069</t>
  </si>
  <si>
    <t>EMP1070</t>
  </si>
  <si>
    <t>EMP1071</t>
  </si>
  <si>
    <t>EMP1072</t>
  </si>
  <si>
    <t>EMP1073</t>
  </si>
  <si>
    <t>EMP1074</t>
  </si>
  <si>
    <t>EMP1075</t>
  </si>
  <si>
    <t>EMP1076</t>
  </si>
  <si>
    <t>EMP1077</t>
  </si>
  <si>
    <t>EMP1078</t>
  </si>
  <si>
    <t>EMP1079</t>
  </si>
  <si>
    <t>EMP1080</t>
  </si>
  <si>
    <t>EMP1081</t>
  </si>
  <si>
    <t>EMP1082</t>
  </si>
  <si>
    <t>EMP1083</t>
  </si>
  <si>
    <t>EMP1084</t>
  </si>
  <si>
    <t>EMP1085</t>
  </si>
  <si>
    <t>EMP1086</t>
  </si>
  <si>
    <t>EMP1087</t>
  </si>
  <si>
    <t>EMP1088</t>
  </si>
  <si>
    <t>EMP1089</t>
  </si>
  <si>
    <t>EMP1090</t>
  </si>
  <si>
    <t>EMP1091</t>
  </si>
  <si>
    <t>EMP1092</t>
  </si>
  <si>
    <t>EMP1093</t>
  </si>
  <si>
    <t>EMP1094</t>
  </si>
  <si>
    <t>EMP1095</t>
  </si>
  <si>
    <t>EMP1096</t>
  </si>
  <si>
    <t>EMP1097</t>
  </si>
  <si>
    <t>EMP1098</t>
  </si>
  <si>
    <t>EMP1099</t>
  </si>
  <si>
    <t>EMP1100</t>
  </si>
  <si>
    <t>EMP1101</t>
  </si>
  <si>
    <t>EMP1102</t>
  </si>
  <si>
    <t>EMP1103</t>
  </si>
  <si>
    <t>EMP1104</t>
  </si>
  <si>
    <t>EMP1105</t>
  </si>
  <si>
    <t>EMP1106</t>
  </si>
  <si>
    <t>EMP1107</t>
  </si>
  <si>
    <t>EMP1108</t>
  </si>
  <si>
    <t>EMP1109</t>
  </si>
  <si>
    <t>EMP1110</t>
  </si>
  <si>
    <t>EMP1111</t>
  </si>
  <si>
    <t>EMP1112</t>
  </si>
  <si>
    <t>EMP1113</t>
  </si>
  <si>
    <t>EMP1114</t>
  </si>
  <si>
    <t>EMP1115</t>
  </si>
  <si>
    <t>EMP1116</t>
  </si>
  <si>
    <t>EMP1117</t>
  </si>
  <si>
    <t>EMP1118</t>
  </si>
  <si>
    <t>EMP1119</t>
  </si>
  <si>
    <t>EMP1120</t>
  </si>
  <si>
    <t>EMP1121</t>
  </si>
  <si>
    <t>EMP1122</t>
  </si>
  <si>
    <t>EMP1123</t>
  </si>
  <si>
    <t>EMP1124</t>
  </si>
  <si>
    <t>EMP1125</t>
  </si>
  <si>
    <t>EMP1126</t>
  </si>
  <si>
    <t>EMP1127</t>
  </si>
  <si>
    <t>EMP1128</t>
  </si>
  <si>
    <t>EMP1129</t>
  </si>
  <si>
    <t>EMP1130</t>
  </si>
  <si>
    <t>EMP1131</t>
  </si>
  <si>
    <t>EMP1132</t>
  </si>
  <si>
    <t>EMP1133</t>
  </si>
  <si>
    <t>EMP1134</t>
  </si>
  <si>
    <t>EMP1135</t>
  </si>
  <si>
    <t>EMP1136</t>
  </si>
  <si>
    <t>EMP1137</t>
  </si>
  <si>
    <t>EMP1138</t>
  </si>
  <si>
    <t>EMP1139</t>
  </si>
  <si>
    <t>EMP1140</t>
  </si>
  <si>
    <t>EMP1141</t>
  </si>
  <si>
    <t>EMP1142</t>
  </si>
  <si>
    <t>EMP1143</t>
  </si>
  <si>
    <t>EMP1144</t>
  </si>
  <si>
    <t>EMP1145</t>
  </si>
  <si>
    <t>EMP1146</t>
  </si>
  <si>
    <t>EMP1147</t>
  </si>
  <si>
    <t>EMP1148</t>
  </si>
  <si>
    <t>EMP1149</t>
  </si>
  <si>
    <t>Eve Adams</t>
  </si>
  <si>
    <t>Alice Brown</t>
  </si>
  <si>
    <t>John Doe</t>
  </si>
  <si>
    <t>Jane Smith</t>
  </si>
  <si>
    <t>Sam Wilson</t>
  </si>
  <si>
    <t>Chris Lee</t>
  </si>
  <si>
    <t>Bob Johnson</t>
  </si>
  <si>
    <t>Finance</t>
  </si>
  <si>
    <t>HR</t>
  </si>
  <si>
    <t>Sales</t>
  </si>
  <si>
    <t>IT</t>
  </si>
  <si>
    <t>Marketing</t>
  </si>
  <si>
    <t xml:space="preserve"> </t>
  </si>
  <si>
    <t>Germany</t>
  </si>
  <si>
    <t>USA</t>
  </si>
  <si>
    <t>India</t>
  </si>
  <si>
    <t>UK</t>
  </si>
  <si>
    <t>Australia</t>
  </si>
  <si>
    <t>N/A</t>
  </si>
  <si>
    <t>Unknown</t>
  </si>
  <si>
    <t>Other</t>
  </si>
  <si>
    <t>Male</t>
  </si>
  <si>
    <t>Female</t>
  </si>
  <si>
    <t>invalid_email</t>
  </si>
  <si>
    <t>user106@example.com</t>
  </si>
  <si>
    <t>user176@example.com</t>
  </si>
  <si>
    <t>user168@example.com</t>
  </si>
  <si>
    <t>user49@example.com</t>
  </si>
  <si>
    <t>user24@example.com</t>
  </si>
  <si>
    <t>user26@example.com</t>
  </si>
  <si>
    <t>user25@example.com</t>
  </si>
  <si>
    <t>user153@example.com</t>
  </si>
  <si>
    <t>user18@example.com</t>
  </si>
  <si>
    <t>user1@example.com</t>
  </si>
  <si>
    <t>user180@example.com</t>
  </si>
  <si>
    <t>user184@example.com</t>
  </si>
  <si>
    <t>user3@example.com</t>
  </si>
  <si>
    <t>user64@example.com</t>
  </si>
  <si>
    <t>user38@example.com</t>
  </si>
  <si>
    <t>user96@example.com</t>
  </si>
  <si>
    <t>user151@example.com</t>
  </si>
  <si>
    <t>user200@example.com</t>
  </si>
  <si>
    <t>user77@example.com</t>
  </si>
  <si>
    <t>user128@example.com</t>
  </si>
  <si>
    <t>user149@example.com</t>
  </si>
  <si>
    <t>user122@example.com</t>
  </si>
  <si>
    <t>user41@example.com</t>
  </si>
  <si>
    <t>user68@example.com</t>
  </si>
  <si>
    <t>user103@example.com</t>
  </si>
  <si>
    <t>user135@example.com</t>
  </si>
  <si>
    <t>user83@example.com</t>
  </si>
  <si>
    <t>user109@example.com</t>
  </si>
  <si>
    <t>user143@example.com</t>
  </si>
  <si>
    <t>user190@example.com</t>
  </si>
  <si>
    <t>user136@example.com</t>
  </si>
  <si>
    <t>user198@example.com</t>
  </si>
  <si>
    <t>user31@example.com</t>
  </si>
  <si>
    <t>user98@example.com</t>
  </si>
  <si>
    <t>user154@example.com</t>
  </si>
  <si>
    <t>user42@example.com</t>
  </si>
  <si>
    <t>user89@example.com</t>
  </si>
  <si>
    <t>user47@example.com</t>
  </si>
  <si>
    <t>user175@example.com</t>
  </si>
  <si>
    <t>user57@example.com</t>
  </si>
  <si>
    <t>user20@example.com</t>
  </si>
  <si>
    <t>user199@example.com</t>
  </si>
  <si>
    <t>user43@example.com</t>
  </si>
  <si>
    <t>user95@example.com</t>
  </si>
  <si>
    <t>user59@example.com</t>
  </si>
  <si>
    <t>user152@example.com</t>
  </si>
  <si>
    <t>user92@example.com</t>
  </si>
  <si>
    <t>user50@example.com</t>
  </si>
  <si>
    <t>user63@example.com</t>
  </si>
  <si>
    <t>user150@example.com</t>
  </si>
  <si>
    <t>user112@example.com</t>
  </si>
  <si>
    <t>user71@example.com</t>
  </si>
  <si>
    <t>user97@example.com</t>
  </si>
  <si>
    <t>user141@example.com</t>
  </si>
  <si>
    <t>user125@example.com</t>
  </si>
  <si>
    <t>user90@example.com</t>
  </si>
  <si>
    <t>user192@example.com</t>
  </si>
  <si>
    <t>user65@example.com</t>
  </si>
  <si>
    <t>user142@example.com</t>
  </si>
  <si>
    <t>user17@example.com</t>
  </si>
  <si>
    <t>user22@example.com</t>
  </si>
  <si>
    <t>user46@example.com</t>
  </si>
  <si>
    <t>user55@example.com</t>
  </si>
  <si>
    <t>user156@example.com</t>
  </si>
  <si>
    <t>user104@example.com</t>
  </si>
  <si>
    <t>user145@example.com</t>
  </si>
  <si>
    <t>user197@example.com</t>
  </si>
  <si>
    <t>user177@example.com</t>
  </si>
  <si>
    <t>user48@example.com</t>
  </si>
  <si>
    <t>user102@example.com</t>
  </si>
  <si>
    <t>user148@example.com</t>
  </si>
  <si>
    <t>user155@example.com</t>
  </si>
  <si>
    <t>user191@example.com</t>
  </si>
  <si>
    <t>user113@example.com</t>
  </si>
  <si>
    <t>user62@example.com</t>
  </si>
  <si>
    <t>user76@example.com</t>
  </si>
  <si>
    <t>user40@example.com</t>
  </si>
  <si>
    <t>user54@example.com</t>
  </si>
  <si>
    <t>user189@example.com</t>
  </si>
  <si>
    <t>user93@example.com</t>
  </si>
  <si>
    <t>user174@example.com</t>
  </si>
  <si>
    <t>user44@example.com</t>
  </si>
  <si>
    <t>user82@example.com</t>
  </si>
  <si>
    <t>user137@example.com</t>
  </si>
  <si>
    <t>user23@example.com</t>
  </si>
  <si>
    <t>user101@example.com</t>
  </si>
  <si>
    <t>user132@example.com</t>
  </si>
  <si>
    <t>user171@example.com</t>
  </si>
  <si>
    <t>user75@example.com</t>
  </si>
  <si>
    <t>user52@example.com</t>
  </si>
  <si>
    <t>user100@example.com</t>
  </si>
  <si>
    <t>user167@example.com</t>
  </si>
  <si>
    <t>user188@example.com</t>
  </si>
  <si>
    <t>user165@example.com</t>
  </si>
  <si>
    <t>user114@example.com</t>
  </si>
  <si>
    <t>user53@example.com</t>
  </si>
  <si>
    <t>user163@example.com</t>
  </si>
  <si>
    <t>user30@example.com</t>
  </si>
  <si>
    <t>Aligned the rows and Columns</t>
  </si>
  <si>
    <t>Wrapped text - Header</t>
  </si>
  <si>
    <t>Table and Formating</t>
  </si>
  <si>
    <t xml:space="preserve">Did table Date format </t>
  </si>
  <si>
    <t>To find the missing Values in Salary column I used Average formula</t>
  </si>
  <si>
    <t xml:space="preserve">Date columns are in pattern - 6 days between 11-01-2015 and 18-01-2015 </t>
  </si>
  <si>
    <t>IF(ISBLANK(G29), G28, G29) - to fill performance rating column I used this formula</t>
  </si>
  <si>
    <t>Description</t>
  </si>
  <si>
    <t>Salary2</t>
  </si>
  <si>
    <t>SUM of Salary</t>
  </si>
  <si>
    <t xml:space="preserve">Count </t>
  </si>
  <si>
    <t>Name column - I Mentioned missing details as Unknown</t>
  </si>
  <si>
    <t>Average</t>
  </si>
  <si>
    <t>(Average Rating)</t>
  </si>
  <si>
    <t>Description: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</si>
</sst>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center" vertical="top" wrapText="1"/>
    </xf>
    <xf numFmtId="0" fontId="1" fillId="0" borderId="5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4" fontId="1" fillId="0" borderId="5" xfId="0" applyNumberFormat="1" applyFont="1" applyBorder="1" applyAlignment="1">
      <alignment horizontal="center" vertical="top" wrapText="1"/>
    </xf>
    <xf numFmtId="164" fontId="0" fillId="0" borderId="0" xfId="0" applyNumberFormat="1"/>
    <xf numFmtId="14" fontId="0" fillId="0" borderId="1" xfId="0" applyNumberFormat="1" applyBorder="1"/>
    <xf numFmtId="14" fontId="0" fillId="0" borderId="8" xfId="0" applyNumberFormat="1" applyBorder="1"/>
    <xf numFmtId="1" fontId="0" fillId="0" borderId="0" xfId="0" applyNumberFormat="1"/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14" fontId="0" fillId="0" borderId="0" xfId="0" applyNumberFormat="1"/>
    <xf numFmtId="0" fontId="2" fillId="0" borderId="3" xfId="1" applyBorder="1" applyAlignment="1">
      <alignment horizontal="left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left"/>
    </xf>
    <xf numFmtId="1" fontId="0" fillId="0" borderId="1" xfId="0" applyNumberFormat="1" applyBorder="1"/>
    <xf numFmtId="0" fontId="1" fillId="0" borderId="1" xfId="0" applyFont="1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2" xfId="0" applyBorder="1" applyAlignment="1">
      <alignment horizontal="left"/>
    </xf>
  </cellXfs>
  <cellStyles count="2">
    <cellStyle name="Hyperlink" xfId="1" builtinId="8"/>
    <cellStyle name="Normal" xfId="0" builtinId="0"/>
  </cellStyles>
  <dxfs count="48">
    <dxf>
      <alignment horizontal="left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9" formatCode="dd/mm/yyyy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/>
      </border>
    </dxf>
    <dxf>
      <alignment horizontal="left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9" formatCode="dd/mm/yyyy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9" formatCode="dd/mm/yyyy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" formatCode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left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9" formatCode="dd/mm/yyyy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776FFC-DAA5-42DD-8BF9-8C180BB19AC3}" name="Table1" displayName="Table1" ref="A1:I151" totalsRowShown="0" headerRowDxfId="47" headerRowBorderDxfId="46" tableBorderDxfId="45" totalsRowBorderDxfId="44">
  <autoFilter ref="A1:I151" xr:uid="{90776FFC-DAA5-42DD-8BF9-8C180BB19AC3}"/>
  <tableColumns count="9">
    <tableColumn id="1" xr3:uid="{C0ADD0C1-74D4-4C5C-9785-D8E0D33DB6B9}" name="Employee ID" dataDxfId="43"/>
    <tableColumn id="2" xr3:uid="{1F6875E7-00DD-4825-A685-5BF196E2CF02}" name="Name" dataDxfId="42"/>
    <tableColumn id="3" xr3:uid="{809F2B5E-BD85-40A3-9806-5D50C37C1C51}" name="Department" dataDxfId="41"/>
    <tableColumn id="4" xr3:uid="{D1C22AA4-7F83-44B4-B2C8-B03D0A9683F4}" name="Country" dataDxfId="40"/>
    <tableColumn id="5" xr3:uid="{33D7BF64-736A-49E0-9039-A84B04B6F8CA}" name="Salary" dataDxfId="39"/>
    <tableColumn id="6" xr3:uid="{3BCB0819-0961-4A29-A1DE-2663E9BD4194}" name="Date of Joining" dataDxfId="38"/>
    <tableColumn id="7" xr3:uid="{EFBEC048-F00F-4F59-8CC2-E47F2F6BB0A6}" name="Performance Rating" dataDxfId="37"/>
    <tableColumn id="8" xr3:uid="{06B7197E-0CFF-43A4-A1C2-34067E61A194}" name="Gender" dataDxfId="36"/>
    <tableColumn id="9" xr3:uid="{BDDBB137-EE34-4625-A1B4-2F03A905C3E6}" name="Email" dataDxfId="35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6A0B335-1D0C-4976-B2C7-B88F826B3F40}" name="Table14" displayName="Table14" ref="A1:J151" totalsRowShown="0" headerRowDxfId="34" headerRowBorderDxfId="33" tableBorderDxfId="32" totalsRowBorderDxfId="31">
  <autoFilter ref="A1:J151" xr:uid="{90776FFC-DAA5-42DD-8BF9-8C180BB19AC3}"/>
  <tableColumns count="10">
    <tableColumn id="1" xr3:uid="{5A4A617F-8348-4E2D-B2AD-7B5DF999C91B}" name="Employee ID" dataDxfId="30" totalsRowDxfId="29"/>
    <tableColumn id="2" xr3:uid="{5882D083-F27F-4878-8C43-5E4456CB20BA}" name="Name" dataDxfId="28" totalsRowDxfId="27"/>
    <tableColumn id="3" xr3:uid="{29AF66B1-7D46-420A-BED6-D315F36F4D9D}" name="Department" dataDxfId="26" totalsRowDxfId="25"/>
    <tableColumn id="4" xr3:uid="{53A967E9-10E3-4849-9AF2-EDDDF10AE983}" name="Country" dataDxfId="24" totalsRowDxfId="23"/>
    <tableColumn id="5" xr3:uid="{8ED21133-AAA3-4BA4-B3F8-953253CB55AB}" name="Salary" dataDxfId="22" totalsRowDxfId="21"/>
    <tableColumn id="6" xr3:uid="{6A2070E7-CA4C-4D5F-AFB8-19A89821E51E}" name="Date of Joining" dataDxfId="20" totalsRowDxfId="19"/>
    <tableColumn id="7" xr3:uid="{01E9E23E-3FEE-4A43-85CE-274CE3AFA429}" name="Performance Rating" dataDxfId="18" totalsRowDxfId="17"/>
    <tableColumn id="8" xr3:uid="{098DB6C5-EC8D-4611-ACF3-C723F6359825}" name="Gender" dataDxfId="16" totalsRowDxfId="15"/>
    <tableColumn id="9" xr3:uid="{0D2825CB-88A4-4E58-98E0-3DFAEBFE1B4C}" name="Email" dataDxfId="14" totalsRowDxfId="13"/>
    <tableColumn id="10" xr3:uid="{BD96B7BF-6BFE-4447-BEE0-5B086AA2D137}" name="Salary2"/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591055-47D9-4D53-9CE2-CA83B633667B}" name="Table13" displayName="Table13" ref="A1:I151" totalsRowShown="0" headerRowDxfId="12" headerRowBorderDxfId="11" tableBorderDxfId="10" totalsRowBorderDxfId="9">
  <autoFilter ref="A1:I151" xr:uid="{B1591055-47D9-4D53-9CE2-CA83B633667B}"/>
  <tableColumns count="9">
    <tableColumn id="1" xr3:uid="{8658C9BE-5284-4F81-A083-BA115AD54993}" name="Employee ID" dataDxfId="8"/>
    <tableColumn id="2" xr3:uid="{C57FCEF4-B2F9-465F-9D97-9CBEB36193C7}" name="Name" dataDxfId="7"/>
    <tableColumn id="3" xr3:uid="{3216D0E5-A47F-4F77-B9C0-B55782038ECE}" name="Department" dataDxfId="6"/>
    <tableColumn id="4" xr3:uid="{F0283DF1-C470-4832-9D64-4FA403E0E2DD}" name="Country" dataDxfId="5"/>
    <tableColumn id="5" xr3:uid="{D2FAAD73-0B02-494B-B93A-A29E0755161E}" name="Salary" dataDxfId="4"/>
    <tableColumn id="6" xr3:uid="{A068D377-8D2F-4CD9-A877-4C50B77F38A6}" name="Date of Joining" dataDxfId="3"/>
    <tableColumn id="7" xr3:uid="{096862D1-0851-4138-A123-DBA912817B25}" name="Performance Rating" dataDxfId="2"/>
    <tableColumn id="8" xr3:uid="{DCC565C4-7E3E-4E6D-BD00-20E304848647}" name="Gender" dataDxfId="1"/>
    <tableColumn id="9" xr3:uid="{F047EB41-8C7A-4CB6-BEBF-E612EB3C0F28}" name="Email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mailto:user106@example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1"/>
  <sheetViews>
    <sheetView topLeftCell="A141" workbookViewId="0">
      <selection activeCell="E157" sqref="E157"/>
    </sheetView>
  </sheetViews>
  <sheetFormatPr defaultRowHeight="14.5" x14ac:dyDescent="0.35"/>
  <cols>
    <col min="1" max="1" width="11.90625" style="1" customWidth="1"/>
    <col min="2" max="2" width="21.6328125" customWidth="1"/>
    <col min="3" max="3" width="13.6328125" customWidth="1"/>
    <col min="4" max="4" width="10.81640625" customWidth="1"/>
    <col min="5" max="5" width="14.90625" customWidth="1"/>
    <col min="6" max="6" width="15.7265625" style="16" customWidth="1"/>
    <col min="7" max="7" width="12.54296875" style="1" customWidth="1"/>
    <col min="8" max="8" width="12" customWidth="1"/>
    <col min="9" max="9" width="26" style="14" customWidth="1"/>
  </cols>
  <sheetData>
    <row r="1" spans="1:9" s="2" customFormat="1" ht="29" x14ac:dyDescent="0.35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15" t="s">
        <v>5</v>
      </c>
      <c r="G1" s="6" t="s">
        <v>6</v>
      </c>
      <c r="H1" s="6" t="s">
        <v>7</v>
      </c>
      <c r="I1" s="7" t="s">
        <v>8</v>
      </c>
    </row>
    <row r="2" spans="1:9" x14ac:dyDescent="0.35">
      <c r="A2" s="10" t="s">
        <v>9</v>
      </c>
      <c r="B2" s="3"/>
      <c r="C2" s="3" t="s">
        <v>166</v>
      </c>
      <c r="D2" s="3" t="s">
        <v>171</v>
      </c>
      <c r="E2" s="3" t="s">
        <v>177</v>
      </c>
      <c r="F2" s="17"/>
      <c r="G2" s="4">
        <v>2</v>
      </c>
      <c r="H2" s="3" t="s">
        <v>178</v>
      </c>
      <c r="I2" s="12" t="s">
        <v>182</v>
      </c>
    </row>
    <row r="3" spans="1:9" x14ac:dyDescent="0.35">
      <c r="A3" s="10" t="s">
        <v>10</v>
      </c>
      <c r="B3" s="3" t="s">
        <v>159</v>
      </c>
      <c r="C3" s="3" t="s">
        <v>167</v>
      </c>
      <c r="D3" s="3" t="s">
        <v>172</v>
      </c>
      <c r="E3" s="3">
        <v>54255</v>
      </c>
      <c r="F3" s="17">
        <v>42015</v>
      </c>
      <c r="G3" s="4">
        <v>1</v>
      </c>
      <c r="H3" s="3" t="s">
        <v>179</v>
      </c>
      <c r="I3" s="12" t="s">
        <v>183</v>
      </c>
    </row>
    <row r="4" spans="1:9" x14ac:dyDescent="0.35">
      <c r="A4" s="10" t="s">
        <v>11</v>
      </c>
      <c r="B4" s="3" t="s">
        <v>160</v>
      </c>
      <c r="C4" s="3" t="s">
        <v>166</v>
      </c>
      <c r="D4" s="3" t="s">
        <v>172</v>
      </c>
      <c r="E4" s="3">
        <v>63184</v>
      </c>
      <c r="F4" s="17">
        <v>42022</v>
      </c>
      <c r="G4" s="4">
        <v>2</v>
      </c>
      <c r="H4" s="3"/>
      <c r="I4" s="12" t="s">
        <v>184</v>
      </c>
    </row>
    <row r="5" spans="1:9" x14ac:dyDescent="0.35">
      <c r="A5" s="10" t="s">
        <v>12</v>
      </c>
      <c r="B5" s="3" t="s">
        <v>161</v>
      </c>
      <c r="C5" s="3" t="s">
        <v>168</v>
      </c>
      <c r="D5" s="3" t="s">
        <v>173</v>
      </c>
      <c r="E5" s="3">
        <v>94406</v>
      </c>
      <c r="F5" s="17">
        <v>42029</v>
      </c>
      <c r="G5" s="4">
        <v>1</v>
      </c>
      <c r="H5" s="3" t="s">
        <v>180</v>
      </c>
      <c r="I5" s="12" t="s">
        <v>185</v>
      </c>
    </row>
    <row r="6" spans="1:9" x14ac:dyDescent="0.35">
      <c r="A6" s="10" t="s">
        <v>13</v>
      </c>
      <c r="B6" s="3" t="s">
        <v>162</v>
      </c>
      <c r="C6" s="3" t="s">
        <v>168</v>
      </c>
      <c r="D6" s="3" t="s">
        <v>172</v>
      </c>
      <c r="E6" s="3">
        <v>64120</v>
      </c>
      <c r="F6" s="17">
        <v>42036</v>
      </c>
      <c r="G6" s="4">
        <v>1</v>
      </c>
      <c r="H6" s="3" t="s">
        <v>180</v>
      </c>
      <c r="I6" s="12" t="s">
        <v>186</v>
      </c>
    </row>
    <row r="7" spans="1:9" x14ac:dyDescent="0.35">
      <c r="A7" s="10" t="s">
        <v>14</v>
      </c>
      <c r="B7" s="3" t="s">
        <v>160</v>
      </c>
      <c r="C7" s="3" t="s">
        <v>169</v>
      </c>
      <c r="D7" s="3" t="s">
        <v>174</v>
      </c>
      <c r="E7" s="3">
        <v>78421</v>
      </c>
      <c r="F7" s="17">
        <v>42043</v>
      </c>
      <c r="G7" s="4">
        <v>2</v>
      </c>
      <c r="H7" s="3" t="s">
        <v>181</v>
      </c>
      <c r="I7" s="12" t="s">
        <v>187</v>
      </c>
    </row>
    <row r="8" spans="1:9" x14ac:dyDescent="0.35">
      <c r="A8" s="10" t="s">
        <v>15</v>
      </c>
      <c r="B8" s="3" t="s">
        <v>163</v>
      </c>
      <c r="C8" s="3" t="s">
        <v>168</v>
      </c>
      <c r="D8" s="3"/>
      <c r="E8" s="3">
        <v>67721</v>
      </c>
      <c r="F8" s="17">
        <v>42050</v>
      </c>
      <c r="G8" s="4"/>
      <c r="H8" s="3" t="s">
        <v>180</v>
      </c>
      <c r="I8" s="12" t="s">
        <v>185</v>
      </c>
    </row>
    <row r="9" spans="1:9" x14ac:dyDescent="0.35">
      <c r="A9" s="10" t="s">
        <v>16</v>
      </c>
      <c r="B9" s="3" t="s">
        <v>164</v>
      </c>
      <c r="C9" s="3" t="s">
        <v>170</v>
      </c>
      <c r="D9" s="3"/>
      <c r="E9" s="3">
        <v>35364</v>
      </c>
      <c r="F9" s="17">
        <v>42057</v>
      </c>
      <c r="G9" s="4">
        <v>2</v>
      </c>
      <c r="H9" s="3" t="s">
        <v>179</v>
      </c>
      <c r="I9" s="12" t="s">
        <v>188</v>
      </c>
    </row>
    <row r="10" spans="1:9" x14ac:dyDescent="0.35">
      <c r="A10" s="10" t="s">
        <v>17</v>
      </c>
      <c r="B10" s="3" t="s">
        <v>160</v>
      </c>
      <c r="C10" s="3" t="s">
        <v>169</v>
      </c>
      <c r="D10" s="3" t="s">
        <v>172</v>
      </c>
      <c r="E10" s="3">
        <v>97881</v>
      </c>
      <c r="F10" s="17">
        <v>42064</v>
      </c>
      <c r="G10" s="4"/>
      <c r="H10" s="3" t="s">
        <v>181</v>
      </c>
      <c r="I10" s="12" t="s">
        <v>189</v>
      </c>
    </row>
    <row r="11" spans="1:9" x14ac:dyDescent="0.35">
      <c r="A11" s="10" t="s">
        <v>18</v>
      </c>
      <c r="B11" s="3" t="s">
        <v>164</v>
      </c>
      <c r="C11" s="3" t="s">
        <v>167</v>
      </c>
      <c r="D11" s="3" t="s">
        <v>175</v>
      </c>
      <c r="E11" s="3">
        <v>91846</v>
      </c>
      <c r="F11" s="17">
        <v>42071</v>
      </c>
      <c r="G11" s="4"/>
      <c r="H11" s="3" t="s">
        <v>180</v>
      </c>
      <c r="I11" s="12" t="s">
        <v>190</v>
      </c>
    </row>
    <row r="12" spans="1:9" x14ac:dyDescent="0.35">
      <c r="A12" s="10" t="s">
        <v>19</v>
      </c>
      <c r="B12" s="3" t="s">
        <v>163</v>
      </c>
      <c r="C12" s="3" t="s">
        <v>166</v>
      </c>
      <c r="D12" s="3" t="s">
        <v>175</v>
      </c>
      <c r="E12" s="3">
        <v>64247</v>
      </c>
      <c r="F12" s="17">
        <v>42078</v>
      </c>
      <c r="G12" s="4">
        <v>1</v>
      </c>
      <c r="H12" s="3" t="s">
        <v>181</v>
      </c>
      <c r="I12" s="12" t="s">
        <v>191</v>
      </c>
    </row>
    <row r="13" spans="1:9" x14ac:dyDescent="0.35">
      <c r="A13" s="10" t="s">
        <v>20</v>
      </c>
      <c r="B13" s="3" t="s">
        <v>163</v>
      </c>
      <c r="C13" s="3" t="s">
        <v>169</v>
      </c>
      <c r="D13" s="3" t="s">
        <v>173</v>
      </c>
      <c r="E13" s="3">
        <v>91180</v>
      </c>
      <c r="F13" s="17">
        <v>42085</v>
      </c>
      <c r="G13" s="4">
        <v>5</v>
      </c>
      <c r="H13" s="3" t="s">
        <v>180</v>
      </c>
      <c r="I13" s="12" t="s">
        <v>192</v>
      </c>
    </row>
    <row r="14" spans="1:9" x14ac:dyDescent="0.35">
      <c r="A14" s="10" t="s">
        <v>21</v>
      </c>
      <c r="B14" s="3" t="s">
        <v>165</v>
      </c>
      <c r="C14" s="3" t="s">
        <v>168</v>
      </c>
      <c r="D14" s="3"/>
      <c r="E14" s="3">
        <v>96418</v>
      </c>
      <c r="F14" s="17">
        <v>42092</v>
      </c>
      <c r="G14" s="4">
        <v>5</v>
      </c>
      <c r="H14" s="3" t="s">
        <v>180</v>
      </c>
      <c r="I14" s="12" t="s">
        <v>183</v>
      </c>
    </row>
    <row r="15" spans="1:9" x14ac:dyDescent="0.35">
      <c r="A15" s="10" t="s">
        <v>22</v>
      </c>
      <c r="B15" s="3" t="s">
        <v>163</v>
      </c>
      <c r="C15" s="3"/>
      <c r="D15" s="3" t="s">
        <v>174</v>
      </c>
      <c r="E15" s="3">
        <v>62158</v>
      </c>
      <c r="F15" s="17">
        <v>42099</v>
      </c>
      <c r="G15" s="4">
        <v>4</v>
      </c>
      <c r="H15" s="3"/>
      <c r="I15" s="12" t="s">
        <v>193</v>
      </c>
    </row>
    <row r="16" spans="1:9" x14ac:dyDescent="0.35">
      <c r="A16" s="10" t="s">
        <v>23</v>
      </c>
      <c r="B16" s="3" t="s">
        <v>162</v>
      </c>
      <c r="C16" s="3" t="s">
        <v>167</v>
      </c>
      <c r="D16" s="3"/>
      <c r="E16" s="3">
        <v>59894</v>
      </c>
      <c r="F16" s="17">
        <v>42106</v>
      </c>
      <c r="G16" s="4">
        <v>2</v>
      </c>
      <c r="H16" s="3" t="s">
        <v>180</v>
      </c>
      <c r="I16" s="12" t="s">
        <v>194</v>
      </c>
    </row>
    <row r="17" spans="1:9" x14ac:dyDescent="0.35">
      <c r="A17" s="10" t="s">
        <v>24</v>
      </c>
      <c r="B17" s="3"/>
      <c r="C17" s="3" t="s">
        <v>169</v>
      </c>
      <c r="D17" s="3" t="s">
        <v>174</v>
      </c>
      <c r="E17" s="3">
        <v>92443</v>
      </c>
      <c r="F17" s="17">
        <v>42113</v>
      </c>
      <c r="G17" s="4">
        <v>3</v>
      </c>
      <c r="H17" s="3" t="s">
        <v>179</v>
      </c>
      <c r="I17" s="12" t="s">
        <v>195</v>
      </c>
    </row>
    <row r="18" spans="1:9" x14ac:dyDescent="0.35">
      <c r="A18" s="10" t="s">
        <v>25</v>
      </c>
      <c r="B18" s="3" t="s">
        <v>165</v>
      </c>
      <c r="C18" s="3"/>
      <c r="D18" s="3" t="s">
        <v>172</v>
      </c>
      <c r="E18" s="3">
        <v>90271</v>
      </c>
      <c r="F18" s="17">
        <v>42120</v>
      </c>
      <c r="G18" s="4"/>
      <c r="H18" s="3"/>
      <c r="I18" s="12" t="s">
        <v>196</v>
      </c>
    </row>
    <row r="19" spans="1:9" x14ac:dyDescent="0.35">
      <c r="A19" s="10" t="s">
        <v>26</v>
      </c>
      <c r="B19" s="3" t="s">
        <v>162</v>
      </c>
      <c r="C19" s="3" t="s">
        <v>166</v>
      </c>
      <c r="D19" s="3" t="s">
        <v>176</v>
      </c>
      <c r="E19" s="3">
        <v>41341</v>
      </c>
      <c r="F19" s="17">
        <v>42127</v>
      </c>
      <c r="G19" s="4">
        <v>1</v>
      </c>
      <c r="H19" s="3" t="s">
        <v>179</v>
      </c>
      <c r="I19" s="12" t="s">
        <v>197</v>
      </c>
    </row>
    <row r="20" spans="1:9" x14ac:dyDescent="0.35">
      <c r="A20" s="10" t="s">
        <v>27</v>
      </c>
      <c r="B20" s="3" t="s">
        <v>160</v>
      </c>
      <c r="C20" s="3" t="s">
        <v>166</v>
      </c>
      <c r="D20" s="3" t="s">
        <v>175</v>
      </c>
      <c r="E20" s="3">
        <v>73602</v>
      </c>
      <c r="F20" s="17">
        <v>42134</v>
      </c>
      <c r="G20" s="4"/>
      <c r="H20" s="3"/>
      <c r="I20" s="12" t="s">
        <v>198</v>
      </c>
    </row>
    <row r="21" spans="1:9" x14ac:dyDescent="0.35">
      <c r="A21" s="10" t="s">
        <v>28</v>
      </c>
      <c r="B21" s="3" t="s">
        <v>159</v>
      </c>
      <c r="C21" s="3"/>
      <c r="D21" s="3" t="s">
        <v>174</v>
      </c>
      <c r="E21" s="3">
        <v>67531</v>
      </c>
      <c r="F21" s="17">
        <v>42141</v>
      </c>
      <c r="G21" s="4">
        <v>5</v>
      </c>
      <c r="H21" s="3" t="s">
        <v>181</v>
      </c>
      <c r="I21" s="12" t="s">
        <v>199</v>
      </c>
    </row>
    <row r="22" spans="1:9" x14ac:dyDescent="0.35">
      <c r="A22" s="10" t="s">
        <v>29</v>
      </c>
      <c r="B22" s="3" t="s">
        <v>162</v>
      </c>
      <c r="C22" s="3" t="s">
        <v>167</v>
      </c>
      <c r="D22" s="3" t="s">
        <v>173</v>
      </c>
      <c r="E22" s="3" t="s">
        <v>177</v>
      </c>
      <c r="F22" s="17">
        <v>42148</v>
      </c>
      <c r="G22" s="4">
        <v>2</v>
      </c>
      <c r="H22" s="3" t="s">
        <v>179</v>
      </c>
      <c r="I22" s="12" t="s">
        <v>200</v>
      </c>
    </row>
    <row r="23" spans="1:9" x14ac:dyDescent="0.35">
      <c r="A23" s="10" t="s">
        <v>30</v>
      </c>
      <c r="B23" s="3" t="s">
        <v>162</v>
      </c>
      <c r="C23" s="3" t="s">
        <v>167</v>
      </c>
      <c r="D23" s="3"/>
      <c r="E23" s="3">
        <v>98922</v>
      </c>
      <c r="F23" s="17">
        <v>42155</v>
      </c>
      <c r="G23" s="4">
        <v>4</v>
      </c>
      <c r="H23" s="3"/>
      <c r="I23" s="12" t="s">
        <v>201</v>
      </c>
    </row>
    <row r="24" spans="1:9" x14ac:dyDescent="0.35">
      <c r="A24" s="10" t="s">
        <v>31</v>
      </c>
      <c r="B24" s="3" t="s">
        <v>159</v>
      </c>
      <c r="C24" s="3" t="s">
        <v>166</v>
      </c>
      <c r="D24" s="3" t="s">
        <v>174</v>
      </c>
      <c r="E24" s="3">
        <v>38333</v>
      </c>
      <c r="F24" s="17">
        <v>42162</v>
      </c>
      <c r="G24" s="4">
        <v>5</v>
      </c>
      <c r="H24" s="3"/>
      <c r="I24" s="12" t="s">
        <v>202</v>
      </c>
    </row>
    <row r="25" spans="1:9" x14ac:dyDescent="0.35">
      <c r="A25" s="10" t="s">
        <v>32</v>
      </c>
      <c r="B25" s="3" t="s">
        <v>160</v>
      </c>
      <c r="C25" s="3" t="s">
        <v>170</v>
      </c>
      <c r="D25" s="3" t="s">
        <v>175</v>
      </c>
      <c r="E25" s="3">
        <v>36515</v>
      </c>
      <c r="F25" s="17">
        <v>42169</v>
      </c>
      <c r="G25" s="4">
        <v>3</v>
      </c>
      <c r="H25" s="3" t="s">
        <v>180</v>
      </c>
      <c r="I25" s="12" t="s">
        <v>203</v>
      </c>
    </row>
    <row r="26" spans="1:9" x14ac:dyDescent="0.35">
      <c r="A26" s="10" t="s">
        <v>33</v>
      </c>
      <c r="B26" s="3" t="s">
        <v>163</v>
      </c>
      <c r="C26" s="3" t="s">
        <v>166</v>
      </c>
      <c r="D26" s="3"/>
      <c r="E26" s="3">
        <v>91005</v>
      </c>
      <c r="F26" s="17">
        <v>42176</v>
      </c>
      <c r="G26" s="4">
        <v>1</v>
      </c>
      <c r="H26" s="3" t="s">
        <v>179</v>
      </c>
      <c r="I26" s="12" t="s">
        <v>204</v>
      </c>
    </row>
    <row r="27" spans="1:9" x14ac:dyDescent="0.35">
      <c r="A27" s="10" t="s">
        <v>34</v>
      </c>
      <c r="B27" s="3" t="s">
        <v>164</v>
      </c>
      <c r="C27" s="3"/>
      <c r="D27" s="3" t="s">
        <v>171</v>
      </c>
      <c r="E27" s="3">
        <v>52272</v>
      </c>
      <c r="F27" s="17">
        <v>42183</v>
      </c>
      <c r="G27" s="4">
        <v>3</v>
      </c>
      <c r="H27" s="3"/>
      <c r="I27" s="12" t="s">
        <v>205</v>
      </c>
    </row>
    <row r="28" spans="1:9" x14ac:dyDescent="0.35">
      <c r="A28" s="10" t="s">
        <v>35</v>
      </c>
      <c r="B28" s="3" t="s">
        <v>159</v>
      </c>
      <c r="C28" s="3" t="s">
        <v>168</v>
      </c>
      <c r="D28" s="3" t="s">
        <v>172</v>
      </c>
      <c r="E28" s="3">
        <v>76518</v>
      </c>
      <c r="F28" s="17">
        <v>42190</v>
      </c>
      <c r="G28" s="4">
        <v>2</v>
      </c>
      <c r="H28" s="3" t="s">
        <v>181</v>
      </c>
      <c r="I28" s="12" t="s">
        <v>206</v>
      </c>
    </row>
    <row r="29" spans="1:9" x14ac:dyDescent="0.35">
      <c r="A29" s="10" t="s">
        <v>36</v>
      </c>
      <c r="B29" s="3" t="s">
        <v>160</v>
      </c>
      <c r="C29" s="3" t="s">
        <v>169</v>
      </c>
      <c r="D29" s="3" t="s">
        <v>175</v>
      </c>
      <c r="E29" s="3">
        <v>41448</v>
      </c>
      <c r="F29" s="17">
        <v>42197</v>
      </c>
      <c r="G29" s="4">
        <v>3</v>
      </c>
      <c r="H29" s="3" t="s">
        <v>179</v>
      </c>
      <c r="I29" s="12" t="s">
        <v>207</v>
      </c>
    </row>
    <row r="30" spans="1:9" x14ac:dyDescent="0.35">
      <c r="A30" s="10" t="s">
        <v>37</v>
      </c>
      <c r="B30" s="3" t="s">
        <v>161</v>
      </c>
      <c r="C30" s="3" t="s">
        <v>167</v>
      </c>
      <c r="D30" s="3" t="s">
        <v>175</v>
      </c>
      <c r="E30" s="3">
        <v>49282</v>
      </c>
      <c r="F30" s="17">
        <v>42204</v>
      </c>
      <c r="G30" s="4">
        <v>2</v>
      </c>
      <c r="H30" s="3" t="s">
        <v>181</v>
      </c>
      <c r="I30" s="12" t="s">
        <v>208</v>
      </c>
    </row>
    <row r="31" spans="1:9" x14ac:dyDescent="0.35">
      <c r="A31" s="10" t="s">
        <v>38</v>
      </c>
      <c r="B31" s="3" t="s">
        <v>165</v>
      </c>
      <c r="C31" s="3" t="s">
        <v>170</v>
      </c>
      <c r="D31" s="3" t="s">
        <v>175</v>
      </c>
      <c r="E31" s="3">
        <v>92959</v>
      </c>
      <c r="F31" s="17">
        <v>42211</v>
      </c>
      <c r="G31" s="4">
        <v>5</v>
      </c>
      <c r="H31" s="3"/>
      <c r="I31" s="12" t="s">
        <v>209</v>
      </c>
    </row>
    <row r="32" spans="1:9" x14ac:dyDescent="0.35">
      <c r="A32" s="10" t="s">
        <v>39</v>
      </c>
      <c r="B32" s="3"/>
      <c r="C32" s="3" t="s">
        <v>170</v>
      </c>
      <c r="D32" s="3"/>
      <c r="E32" s="3">
        <v>92259</v>
      </c>
      <c r="F32" s="17"/>
      <c r="G32" s="4">
        <v>1</v>
      </c>
      <c r="H32" s="3" t="s">
        <v>178</v>
      </c>
      <c r="I32" s="12" t="s">
        <v>210</v>
      </c>
    </row>
    <row r="33" spans="1:9" x14ac:dyDescent="0.35">
      <c r="A33" s="10" t="s">
        <v>40</v>
      </c>
      <c r="B33" s="3" t="s">
        <v>159</v>
      </c>
      <c r="C33" s="3" t="s">
        <v>167</v>
      </c>
      <c r="D33" s="3" t="s">
        <v>172</v>
      </c>
      <c r="E33" s="3">
        <v>92299</v>
      </c>
      <c r="F33" s="17">
        <v>42225</v>
      </c>
      <c r="G33" s="4">
        <v>3</v>
      </c>
      <c r="H33" s="3" t="s">
        <v>180</v>
      </c>
      <c r="I33" s="12" t="s">
        <v>211</v>
      </c>
    </row>
    <row r="34" spans="1:9" x14ac:dyDescent="0.35">
      <c r="A34" s="10" t="s">
        <v>41</v>
      </c>
      <c r="B34" s="3" t="s">
        <v>163</v>
      </c>
      <c r="C34" s="3" t="s">
        <v>167</v>
      </c>
      <c r="D34" s="3"/>
      <c r="E34" s="3">
        <v>95586</v>
      </c>
      <c r="F34" s="17">
        <v>42232</v>
      </c>
      <c r="G34" s="4">
        <v>3</v>
      </c>
      <c r="H34" s="3" t="s">
        <v>179</v>
      </c>
      <c r="I34" s="12" t="s">
        <v>212</v>
      </c>
    </row>
    <row r="35" spans="1:9" x14ac:dyDescent="0.35">
      <c r="A35" s="10" t="s">
        <v>42</v>
      </c>
      <c r="B35" s="3" t="s">
        <v>164</v>
      </c>
      <c r="C35" s="3"/>
      <c r="D35" s="3" t="s">
        <v>173</v>
      </c>
      <c r="E35" s="3">
        <v>95367</v>
      </c>
      <c r="F35" s="17">
        <v>42239</v>
      </c>
      <c r="G35" s="4"/>
      <c r="H35" s="3" t="s">
        <v>180</v>
      </c>
      <c r="I35" s="12" t="s">
        <v>213</v>
      </c>
    </row>
    <row r="36" spans="1:9" x14ac:dyDescent="0.35">
      <c r="A36" s="10" t="s">
        <v>43</v>
      </c>
      <c r="B36" s="3" t="s">
        <v>161</v>
      </c>
      <c r="C36" s="3" t="s">
        <v>168</v>
      </c>
      <c r="D36" s="3" t="s">
        <v>176</v>
      </c>
      <c r="E36" s="3">
        <v>79549</v>
      </c>
      <c r="F36" s="17">
        <v>42246</v>
      </c>
      <c r="G36" s="4">
        <v>3</v>
      </c>
      <c r="H36" s="3"/>
      <c r="I36" s="12" t="s">
        <v>214</v>
      </c>
    </row>
    <row r="37" spans="1:9" x14ac:dyDescent="0.35">
      <c r="A37" s="10" t="s">
        <v>44</v>
      </c>
      <c r="B37" s="3" t="s">
        <v>160</v>
      </c>
      <c r="C37" s="3"/>
      <c r="D37" s="3" t="s">
        <v>175</v>
      </c>
      <c r="E37" s="3">
        <v>54463</v>
      </c>
      <c r="F37" s="17">
        <v>42253</v>
      </c>
      <c r="G37" s="4">
        <v>4</v>
      </c>
      <c r="H37" s="3" t="s">
        <v>180</v>
      </c>
      <c r="I37" s="12" t="s">
        <v>182</v>
      </c>
    </row>
    <row r="38" spans="1:9" x14ac:dyDescent="0.35">
      <c r="A38" s="10" t="s">
        <v>45</v>
      </c>
      <c r="B38" s="3" t="s">
        <v>160</v>
      </c>
      <c r="C38" s="3" t="s">
        <v>169</v>
      </c>
      <c r="D38" s="3" t="s">
        <v>173</v>
      </c>
      <c r="E38" s="3">
        <v>89781</v>
      </c>
      <c r="F38" s="17">
        <v>42260</v>
      </c>
      <c r="G38" s="4"/>
      <c r="H38" s="3" t="s">
        <v>181</v>
      </c>
      <c r="I38" s="12" t="s">
        <v>215</v>
      </c>
    </row>
    <row r="39" spans="1:9" x14ac:dyDescent="0.35">
      <c r="A39" s="10" t="s">
        <v>46</v>
      </c>
      <c r="B39" s="3" t="s">
        <v>160</v>
      </c>
      <c r="C39" s="3" t="s">
        <v>167</v>
      </c>
      <c r="D39" s="3"/>
      <c r="E39" s="3">
        <v>64796</v>
      </c>
      <c r="F39" s="17">
        <v>42267</v>
      </c>
      <c r="G39" s="4"/>
      <c r="H39" s="3" t="s">
        <v>179</v>
      </c>
      <c r="I39" s="12" t="s">
        <v>216</v>
      </c>
    </row>
    <row r="40" spans="1:9" x14ac:dyDescent="0.35">
      <c r="A40" s="10" t="s">
        <v>47</v>
      </c>
      <c r="B40" s="3" t="s">
        <v>161</v>
      </c>
      <c r="C40" s="3" t="s">
        <v>170</v>
      </c>
      <c r="D40" s="3" t="s">
        <v>175</v>
      </c>
      <c r="E40" s="3">
        <v>52093</v>
      </c>
      <c r="F40" s="17">
        <v>42274</v>
      </c>
      <c r="G40" s="4">
        <v>5</v>
      </c>
      <c r="H40" s="3"/>
      <c r="I40" s="12" t="s">
        <v>217</v>
      </c>
    </row>
    <row r="41" spans="1:9" x14ac:dyDescent="0.35">
      <c r="A41" s="10" t="s">
        <v>48</v>
      </c>
      <c r="B41" s="3" t="s">
        <v>164</v>
      </c>
      <c r="C41" s="3" t="s">
        <v>167</v>
      </c>
      <c r="D41" s="3" t="s">
        <v>175</v>
      </c>
      <c r="E41" s="3">
        <v>48224</v>
      </c>
      <c r="F41" s="17">
        <v>42281</v>
      </c>
      <c r="G41" s="4">
        <v>3</v>
      </c>
      <c r="H41" s="3"/>
      <c r="I41" s="12" t="s">
        <v>218</v>
      </c>
    </row>
    <row r="42" spans="1:9" x14ac:dyDescent="0.35">
      <c r="A42" s="10" t="s">
        <v>49</v>
      </c>
      <c r="B42" s="3" t="s">
        <v>165</v>
      </c>
      <c r="C42" s="3" t="s">
        <v>166</v>
      </c>
      <c r="D42" s="3" t="s">
        <v>175</v>
      </c>
      <c r="E42" s="3" t="s">
        <v>177</v>
      </c>
      <c r="F42" s="17"/>
      <c r="G42" s="4">
        <v>4</v>
      </c>
      <c r="H42" s="3" t="s">
        <v>181</v>
      </c>
      <c r="I42" s="12" t="s">
        <v>219</v>
      </c>
    </row>
    <row r="43" spans="1:9" x14ac:dyDescent="0.35">
      <c r="A43" s="10" t="s">
        <v>50</v>
      </c>
      <c r="B43" s="3" t="s">
        <v>160</v>
      </c>
      <c r="C43" s="3" t="s">
        <v>169</v>
      </c>
      <c r="D43" s="3" t="s">
        <v>172</v>
      </c>
      <c r="E43" s="3">
        <v>33956</v>
      </c>
      <c r="F43" s="17">
        <v>42295</v>
      </c>
      <c r="G43" s="4"/>
      <c r="H43" s="3"/>
      <c r="I43" s="12" t="s">
        <v>220</v>
      </c>
    </row>
    <row r="44" spans="1:9" x14ac:dyDescent="0.35">
      <c r="A44" s="10" t="s">
        <v>51</v>
      </c>
      <c r="B44" s="3" t="s">
        <v>165</v>
      </c>
      <c r="C44" s="3"/>
      <c r="D44" s="3" t="s">
        <v>176</v>
      </c>
      <c r="E44" s="3">
        <v>64913</v>
      </c>
      <c r="F44" s="17">
        <v>42302</v>
      </c>
      <c r="G44" s="4">
        <v>1</v>
      </c>
      <c r="H44" s="3" t="s">
        <v>181</v>
      </c>
      <c r="I44" s="12" t="s">
        <v>221</v>
      </c>
    </row>
    <row r="45" spans="1:9" x14ac:dyDescent="0.35">
      <c r="A45" s="10" t="s">
        <v>52</v>
      </c>
      <c r="B45" s="3" t="s">
        <v>160</v>
      </c>
      <c r="C45" s="3" t="s">
        <v>170</v>
      </c>
      <c r="D45" s="3" t="s">
        <v>176</v>
      </c>
      <c r="E45" s="3">
        <v>35326</v>
      </c>
      <c r="F45" s="17">
        <v>42309</v>
      </c>
      <c r="G45" s="4"/>
      <c r="H45" s="3" t="s">
        <v>181</v>
      </c>
      <c r="I45" s="12" t="s">
        <v>222</v>
      </c>
    </row>
    <row r="46" spans="1:9" x14ac:dyDescent="0.35">
      <c r="A46" s="10" t="s">
        <v>53</v>
      </c>
      <c r="B46" s="3" t="s">
        <v>164</v>
      </c>
      <c r="C46" s="3" t="s">
        <v>166</v>
      </c>
      <c r="D46" s="3"/>
      <c r="E46" s="3">
        <v>81610</v>
      </c>
      <c r="F46" s="17">
        <v>42316</v>
      </c>
      <c r="G46" s="4">
        <v>1</v>
      </c>
      <c r="H46" s="3"/>
      <c r="I46" s="12" t="s">
        <v>223</v>
      </c>
    </row>
    <row r="47" spans="1:9" x14ac:dyDescent="0.35">
      <c r="A47" s="10" t="s">
        <v>54</v>
      </c>
      <c r="B47" s="3"/>
      <c r="C47" s="3" t="s">
        <v>167</v>
      </c>
      <c r="D47" s="3"/>
      <c r="E47" s="3">
        <v>58962</v>
      </c>
      <c r="F47" s="17">
        <v>42323</v>
      </c>
      <c r="G47" s="4">
        <v>3</v>
      </c>
      <c r="H47" s="3" t="s">
        <v>179</v>
      </c>
      <c r="I47" s="12" t="s">
        <v>183</v>
      </c>
    </row>
    <row r="48" spans="1:9" x14ac:dyDescent="0.35">
      <c r="A48" s="10" t="s">
        <v>55</v>
      </c>
      <c r="B48" s="3" t="s">
        <v>164</v>
      </c>
      <c r="C48" s="3" t="s">
        <v>169</v>
      </c>
      <c r="D48" s="3" t="s">
        <v>172</v>
      </c>
      <c r="E48" s="3">
        <v>92701</v>
      </c>
      <c r="F48" s="17">
        <v>42330</v>
      </c>
      <c r="G48" s="4">
        <v>3</v>
      </c>
      <c r="H48" s="3" t="s">
        <v>179</v>
      </c>
      <c r="I48" s="12" t="s">
        <v>224</v>
      </c>
    </row>
    <row r="49" spans="1:9" x14ac:dyDescent="0.35">
      <c r="A49" s="10" t="s">
        <v>56</v>
      </c>
      <c r="B49" s="3" t="s">
        <v>164</v>
      </c>
      <c r="C49" s="3" t="s">
        <v>167</v>
      </c>
      <c r="D49" s="3" t="s">
        <v>174</v>
      </c>
      <c r="E49" s="3">
        <v>58245</v>
      </c>
      <c r="F49" s="17">
        <v>42337</v>
      </c>
      <c r="G49" s="4">
        <v>4</v>
      </c>
      <c r="H49" s="3"/>
      <c r="I49" s="12" t="s">
        <v>225</v>
      </c>
    </row>
    <row r="50" spans="1:9" x14ac:dyDescent="0.35">
      <c r="A50" s="10" t="s">
        <v>57</v>
      </c>
      <c r="B50" s="3" t="s">
        <v>161</v>
      </c>
      <c r="C50" s="3" t="s">
        <v>166</v>
      </c>
      <c r="D50" s="3"/>
      <c r="E50" s="3">
        <v>66513</v>
      </c>
      <c r="F50" s="17">
        <v>42344</v>
      </c>
      <c r="G50" s="4">
        <v>2</v>
      </c>
      <c r="H50" s="3" t="s">
        <v>179</v>
      </c>
      <c r="I50" s="12" t="s">
        <v>187</v>
      </c>
    </row>
    <row r="51" spans="1:9" x14ac:dyDescent="0.35">
      <c r="A51" s="10" t="s">
        <v>58</v>
      </c>
      <c r="B51" s="3" t="s">
        <v>159</v>
      </c>
      <c r="C51" s="3" t="s">
        <v>167</v>
      </c>
      <c r="D51" s="3" t="s">
        <v>172</v>
      </c>
      <c r="E51" s="3">
        <v>78720</v>
      </c>
      <c r="F51" s="17">
        <v>42351</v>
      </c>
      <c r="G51" s="4">
        <v>5</v>
      </c>
      <c r="H51" s="3" t="s">
        <v>181</v>
      </c>
      <c r="I51" s="12" t="s">
        <v>219</v>
      </c>
    </row>
    <row r="52" spans="1:9" x14ac:dyDescent="0.35">
      <c r="A52" s="10" t="s">
        <v>59</v>
      </c>
      <c r="B52" s="3" t="s">
        <v>164</v>
      </c>
      <c r="C52" s="3"/>
      <c r="D52" s="3" t="s">
        <v>171</v>
      </c>
      <c r="E52" s="3">
        <v>30686</v>
      </c>
      <c r="F52" s="17"/>
      <c r="G52" s="4">
        <v>2</v>
      </c>
      <c r="H52" s="3" t="s">
        <v>181</v>
      </c>
      <c r="I52" s="12" t="s">
        <v>226</v>
      </c>
    </row>
    <row r="53" spans="1:9" x14ac:dyDescent="0.35">
      <c r="A53" s="10" t="s">
        <v>60</v>
      </c>
      <c r="B53" s="3" t="s">
        <v>163</v>
      </c>
      <c r="C53" s="3" t="s">
        <v>168</v>
      </c>
      <c r="D53" s="3" t="s">
        <v>174</v>
      </c>
      <c r="E53" s="3">
        <v>39423</v>
      </c>
      <c r="F53" s="17">
        <v>42365</v>
      </c>
      <c r="G53" s="4">
        <v>5</v>
      </c>
      <c r="H53" s="3"/>
      <c r="I53" s="12" t="s">
        <v>227</v>
      </c>
    </row>
    <row r="54" spans="1:9" x14ac:dyDescent="0.35">
      <c r="A54" s="10" t="s">
        <v>61</v>
      </c>
      <c r="B54" s="3" t="s">
        <v>159</v>
      </c>
      <c r="C54" s="3" t="s">
        <v>170</v>
      </c>
      <c r="D54" s="3"/>
      <c r="E54" s="3">
        <v>30280</v>
      </c>
      <c r="F54" s="17">
        <v>42372</v>
      </c>
      <c r="G54" s="4">
        <v>1</v>
      </c>
      <c r="H54" s="3"/>
      <c r="I54" s="12" t="s">
        <v>228</v>
      </c>
    </row>
    <row r="55" spans="1:9" x14ac:dyDescent="0.35">
      <c r="A55" s="10" t="s">
        <v>62</v>
      </c>
      <c r="B55" s="3" t="s">
        <v>159</v>
      </c>
      <c r="C55" s="3" t="s">
        <v>166</v>
      </c>
      <c r="D55" s="3" t="s">
        <v>175</v>
      </c>
      <c r="E55" s="3">
        <v>33352</v>
      </c>
      <c r="F55" s="17">
        <v>42379</v>
      </c>
      <c r="G55" s="4">
        <v>3</v>
      </c>
      <c r="H55" s="3" t="s">
        <v>181</v>
      </c>
      <c r="I55" s="12" t="s">
        <v>200</v>
      </c>
    </row>
    <row r="56" spans="1:9" x14ac:dyDescent="0.35">
      <c r="A56" s="10" t="s">
        <v>63</v>
      </c>
      <c r="B56" s="3" t="s">
        <v>165</v>
      </c>
      <c r="C56" s="3" t="s">
        <v>170</v>
      </c>
      <c r="D56" s="3" t="s">
        <v>175</v>
      </c>
      <c r="E56" s="3">
        <v>75633</v>
      </c>
      <c r="F56" s="17">
        <v>42386</v>
      </c>
      <c r="G56" s="4">
        <v>5</v>
      </c>
      <c r="H56" s="3" t="s">
        <v>179</v>
      </c>
      <c r="I56" s="12" t="s">
        <v>229</v>
      </c>
    </row>
    <row r="57" spans="1:9" x14ac:dyDescent="0.35">
      <c r="A57" s="10" t="s">
        <v>64</v>
      </c>
      <c r="B57" s="3" t="s">
        <v>164</v>
      </c>
      <c r="C57" s="3"/>
      <c r="D57" s="3" t="s">
        <v>173</v>
      </c>
      <c r="E57" s="3">
        <v>74815</v>
      </c>
      <c r="F57" s="17">
        <v>42393</v>
      </c>
      <c r="G57" s="4">
        <v>5</v>
      </c>
      <c r="H57" s="3" t="s">
        <v>181</v>
      </c>
      <c r="I57" s="12" t="s">
        <v>230</v>
      </c>
    </row>
    <row r="58" spans="1:9" x14ac:dyDescent="0.35">
      <c r="A58" s="10" t="s">
        <v>65</v>
      </c>
      <c r="B58" s="3" t="s">
        <v>161</v>
      </c>
      <c r="C58" s="3" t="s">
        <v>168</v>
      </c>
      <c r="D58" s="3" t="s">
        <v>176</v>
      </c>
      <c r="E58" s="3">
        <v>60011</v>
      </c>
      <c r="F58" s="17">
        <v>42400</v>
      </c>
      <c r="G58" s="4">
        <v>1</v>
      </c>
      <c r="H58" s="3" t="s">
        <v>180</v>
      </c>
      <c r="I58" s="12" t="s">
        <v>231</v>
      </c>
    </row>
    <row r="59" spans="1:9" x14ac:dyDescent="0.35">
      <c r="A59" s="10" t="s">
        <v>66</v>
      </c>
      <c r="B59" s="3" t="s">
        <v>159</v>
      </c>
      <c r="C59" s="3"/>
      <c r="D59" s="3" t="s">
        <v>174</v>
      </c>
      <c r="E59" s="3">
        <v>96949</v>
      </c>
      <c r="F59" s="17">
        <v>42407</v>
      </c>
      <c r="G59" s="4">
        <v>3</v>
      </c>
      <c r="H59" s="3"/>
      <c r="I59" s="12" t="s">
        <v>207</v>
      </c>
    </row>
    <row r="60" spans="1:9" x14ac:dyDescent="0.35">
      <c r="A60" s="10" t="s">
        <v>67</v>
      </c>
      <c r="B60" s="3" t="s">
        <v>163</v>
      </c>
      <c r="C60" s="3" t="s">
        <v>170</v>
      </c>
      <c r="D60" s="3"/>
      <c r="E60" s="3">
        <v>84924</v>
      </c>
      <c r="F60" s="17">
        <v>42414</v>
      </c>
      <c r="G60" s="4">
        <v>5</v>
      </c>
      <c r="H60" s="3" t="s">
        <v>180</v>
      </c>
      <c r="I60" s="12" t="s">
        <v>232</v>
      </c>
    </row>
    <row r="61" spans="1:9" x14ac:dyDescent="0.35">
      <c r="A61" s="10" t="s">
        <v>68</v>
      </c>
      <c r="B61" s="3" t="s">
        <v>163</v>
      </c>
      <c r="C61" s="3" t="s">
        <v>166</v>
      </c>
      <c r="D61" s="3" t="s">
        <v>173</v>
      </c>
      <c r="E61" s="3">
        <v>82033</v>
      </c>
      <c r="F61" s="17">
        <v>42421</v>
      </c>
      <c r="G61" s="4">
        <v>1</v>
      </c>
      <c r="H61" s="3"/>
      <c r="I61" s="12" t="s">
        <v>223</v>
      </c>
    </row>
    <row r="62" spans="1:9" x14ac:dyDescent="0.35">
      <c r="A62" s="10" t="s">
        <v>69</v>
      </c>
      <c r="B62" s="3"/>
      <c r="C62" s="3" t="s">
        <v>170</v>
      </c>
      <c r="D62" s="3" t="s">
        <v>172</v>
      </c>
      <c r="E62" s="3" t="s">
        <v>177</v>
      </c>
      <c r="F62" s="17"/>
      <c r="G62" s="4">
        <v>5</v>
      </c>
      <c r="H62" s="3" t="s">
        <v>178</v>
      </c>
      <c r="I62" s="12" t="s">
        <v>233</v>
      </c>
    </row>
    <row r="63" spans="1:9" x14ac:dyDescent="0.35">
      <c r="A63" s="10" t="s">
        <v>70</v>
      </c>
      <c r="B63" s="3" t="s">
        <v>159</v>
      </c>
      <c r="C63" s="3"/>
      <c r="D63" s="3" t="s">
        <v>176</v>
      </c>
      <c r="E63" s="3">
        <v>31499</v>
      </c>
      <c r="F63" s="17">
        <v>42435</v>
      </c>
      <c r="G63" s="4">
        <v>2</v>
      </c>
      <c r="H63" s="3"/>
      <c r="I63" s="12" t="s">
        <v>215</v>
      </c>
    </row>
    <row r="64" spans="1:9" x14ac:dyDescent="0.35">
      <c r="A64" s="10" t="s">
        <v>71</v>
      </c>
      <c r="B64" s="3" t="s">
        <v>164</v>
      </c>
      <c r="C64" s="3" t="s">
        <v>169</v>
      </c>
      <c r="D64" s="3" t="s">
        <v>175</v>
      </c>
      <c r="E64" s="3">
        <v>97981</v>
      </c>
      <c r="F64" s="17">
        <v>42442</v>
      </c>
      <c r="G64" s="4">
        <v>5</v>
      </c>
      <c r="H64" s="3" t="s">
        <v>181</v>
      </c>
      <c r="I64" s="12" t="s">
        <v>234</v>
      </c>
    </row>
    <row r="65" spans="1:9" x14ac:dyDescent="0.35">
      <c r="A65" s="10" t="s">
        <v>72</v>
      </c>
      <c r="B65" s="3" t="s">
        <v>159</v>
      </c>
      <c r="C65" s="3" t="s">
        <v>167</v>
      </c>
      <c r="D65" s="3" t="s">
        <v>173</v>
      </c>
      <c r="E65" s="3">
        <v>36541</v>
      </c>
      <c r="F65" s="17">
        <v>42449</v>
      </c>
      <c r="G65" s="4">
        <v>2</v>
      </c>
      <c r="H65" s="3" t="s">
        <v>179</v>
      </c>
      <c r="I65" s="12" t="s">
        <v>235</v>
      </c>
    </row>
    <row r="66" spans="1:9" x14ac:dyDescent="0.35">
      <c r="A66" s="10" t="s">
        <v>73</v>
      </c>
      <c r="B66" s="3" t="s">
        <v>161</v>
      </c>
      <c r="C66" s="3" t="s">
        <v>169</v>
      </c>
      <c r="D66" s="3" t="s">
        <v>174</v>
      </c>
      <c r="E66" s="3">
        <v>84737</v>
      </c>
      <c r="F66" s="17">
        <v>42456</v>
      </c>
      <c r="G66" s="4">
        <v>1</v>
      </c>
      <c r="H66" s="3" t="s">
        <v>180</v>
      </c>
      <c r="I66" s="12" t="s">
        <v>236</v>
      </c>
    </row>
    <row r="67" spans="1:9" x14ac:dyDescent="0.35">
      <c r="A67" s="10" t="s">
        <v>74</v>
      </c>
      <c r="B67" s="3" t="s">
        <v>163</v>
      </c>
      <c r="C67" s="3" t="s">
        <v>166</v>
      </c>
      <c r="D67" s="3" t="s">
        <v>174</v>
      </c>
      <c r="E67" s="3">
        <v>33468</v>
      </c>
      <c r="F67" s="17">
        <v>42463</v>
      </c>
      <c r="G67" s="4">
        <v>4</v>
      </c>
      <c r="H67" s="3" t="s">
        <v>180</v>
      </c>
      <c r="I67" s="12" t="s">
        <v>237</v>
      </c>
    </row>
    <row r="68" spans="1:9" x14ac:dyDescent="0.35">
      <c r="A68" s="10" t="s">
        <v>75</v>
      </c>
      <c r="B68" s="3" t="s">
        <v>163</v>
      </c>
      <c r="C68" s="3"/>
      <c r="D68" s="3" t="s">
        <v>176</v>
      </c>
      <c r="E68" s="3">
        <v>96365</v>
      </c>
      <c r="F68" s="17">
        <v>42470</v>
      </c>
      <c r="G68" s="4">
        <v>3</v>
      </c>
      <c r="H68" s="3" t="s">
        <v>179</v>
      </c>
      <c r="I68" s="12" t="s">
        <v>238</v>
      </c>
    </row>
    <row r="69" spans="1:9" x14ac:dyDescent="0.35">
      <c r="A69" s="10" t="s">
        <v>76</v>
      </c>
      <c r="B69" s="3" t="s">
        <v>160</v>
      </c>
      <c r="C69" s="3" t="s">
        <v>168</v>
      </c>
      <c r="D69" s="3" t="s">
        <v>174</v>
      </c>
      <c r="E69" s="3">
        <v>61942</v>
      </c>
      <c r="F69" s="17">
        <v>42477</v>
      </c>
      <c r="G69" s="4">
        <v>3</v>
      </c>
      <c r="H69" s="3" t="s">
        <v>181</v>
      </c>
      <c r="I69" s="12" t="s">
        <v>239</v>
      </c>
    </row>
    <row r="70" spans="1:9" x14ac:dyDescent="0.35">
      <c r="A70" s="10" t="s">
        <v>77</v>
      </c>
      <c r="B70" s="3" t="s">
        <v>163</v>
      </c>
      <c r="C70" s="3" t="s">
        <v>166</v>
      </c>
      <c r="D70" s="3" t="s">
        <v>175</v>
      </c>
      <c r="E70" s="3">
        <v>41467</v>
      </c>
      <c r="F70" s="17">
        <v>42484</v>
      </c>
      <c r="G70" s="4">
        <v>2</v>
      </c>
      <c r="H70" s="3"/>
      <c r="I70" s="12" t="s">
        <v>201</v>
      </c>
    </row>
    <row r="71" spans="1:9" x14ac:dyDescent="0.35">
      <c r="A71" s="10" t="s">
        <v>78</v>
      </c>
      <c r="B71" s="3" t="s">
        <v>165</v>
      </c>
      <c r="C71" s="3" t="s">
        <v>166</v>
      </c>
      <c r="D71" s="3" t="s">
        <v>174</v>
      </c>
      <c r="E71" s="3">
        <v>77096</v>
      </c>
      <c r="F71" s="17">
        <v>42491</v>
      </c>
      <c r="G71" s="4">
        <v>1</v>
      </c>
      <c r="H71" s="3"/>
      <c r="I71" s="12" t="s">
        <v>240</v>
      </c>
    </row>
    <row r="72" spans="1:9" x14ac:dyDescent="0.35">
      <c r="A72" s="10" t="s">
        <v>79</v>
      </c>
      <c r="B72" s="3" t="s">
        <v>159</v>
      </c>
      <c r="C72" s="3" t="s">
        <v>168</v>
      </c>
      <c r="D72" s="3" t="s">
        <v>176</v>
      </c>
      <c r="E72" s="3">
        <v>69952</v>
      </c>
      <c r="F72" s="17">
        <v>42498</v>
      </c>
      <c r="G72" s="4">
        <v>5</v>
      </c>
      <c r="H72" s="3" t="s">
        <v>181</v>
      </c>
      <c r="I72" s="12" t="s">
        <v>182</v>
      </c>
    </row>
    <row r="73" spans="1:9" x14ac:dyDescent="0.35">
      <c r="A73" s="10" t="s">
        <v>80</v>
      </c>
      <c r="B73" s="3" t="s">
        <v>159</v>
      </c>
      <c r="C73" s="3" t="s">
        <v>170</v>
      </c>
      <c r="D73" s="3" t="s">
        <v>173</v>
      </c>
      <c r="E73" s="3">
        <v>85065</v>
      </c>
      <c r="F73" s="17">
        <v>42505</v>
      </c>
      <c r="G73" s="4">
        <v>3</v>
      </c>
      <c r="H73" s="3"/>
      <c r="I73" s="12" t="s">
        <v>241</v>
      </c>
    </row>
    <row r="74" spans="1:9" x14ac:dyDescent="0.35">
      <c r="A74" s="10" t="s">
        <v>81</v>
      </c>
      <c r="B74" s="3" t="s">
        <v>165</v>
      </c>
      <c r="C74" s="3" t="s">
        <v>170</v>
      </c>
      <c r="D74" s="3" t="s">
        <v>174</v>
      </c>
      <c r="E74" s="3">
        <v>56512</v>
      </c>
      <c r="F74" s="17">
        <v>42512</v>
      </c>
      <c r="G74" s="4"/>
      <c r="H74" s="3" t="s">
        <v>179</v>
      </c>
      <c r="I74" s="12" t="s">
        <v>190</v>
      </c>
    </row>
    <row r="75" spans="1:9" x14ac:dyDescent="0.35">
      <c r="A75" s="10" t="s">
        <v>82</v>
      </c>
      <c r="B75" s="3" t="s">
        <v>161</v>
      </c>
      <c r="C75" s="3" t="s">
        <v>168</v>
      </c>
      <c r="D75" s="3" t="s">
        <v>174</v>
      </c>
      <c r="E75" s="3">
        <v>91101</v>
      </c>
      <c r="F75" s="17">
        <v>42519</v>
      </c>
      <c r="G75" s="4">
        <v>4</v>
      </c>
      <c r="H75" s="3" t="s">
        <v>181</v>
      </c>
      <c r="I75" s="12" t="s">
        <v>234</v>
      </c>
    </row>
    <row r="76" spans="1:9" x14ac:dyDescent="0.35">
      <c r="A76" s="10" t="s">
        <v>83</v>
      </c>
      <c r="B76" s="3" t="s">
        <v>163</v>
      </c>
      <c r="C76" s="3"/>
      <c r="D76" s="3" t="s">
        <v>172</v>
      </c>
      <c r="E76" s="3">
        <v>41243</v>
      </c>
      <c r="F76" s="17">
        <v>42526</v>
      </c>
      <c r="G76" s="4"/>
      <c r="H76" s="3"/>
      <c r="I76" s="12" t="s">
        <v>211</v>
      </c>
    </row>
    <row r="77" spans="1:9" x14ac:dyDescent="0.35">
      <c r="A77" s="10" t="s">
        <v>84</v>
      </c>
      <c r="B77" s="3"/>
      <c r="C77" s="3" t="s">
        <v>168</v>
      </c>
      <c r="D77" s="3" t="s">
        <v>171</v>
      </c>
      <c r="E77" s="3">
        <v>96142</v>
      </c>
      <c r="F77" s="17">
        <v>42533</v>
      </c>
      <c r="G77" s="4">
        <v>1</v>
      </c>
      <c r="H77" s="3" t="s">
        <v>179</v>
      </c>
      <c r="I77" s="12" t="s">
        <v>242</v>
      </c>
    </row>
    <row r="78" spans="1:9" x14ac:dyDescent="0.35">
      <c r="A78" s="10" t="s">
        <v>85</v>
      </c>
      <c r="B78" s="3" t="s">
        <v>159</v>
      </c>
      <c r="C78" s="3" t="s">
        <v>169</v>
      </c>
      <c r="D78" s="3" t="s">
        <v>174</v>
      </c>
      <c r="E78" s="3">
        <v>94301</v>
      </c>
      <c r="F78" s="17">
        <v>42540</v>
      </c>
      <c r="G78" s="4">
        <v>1</v>
      </c>
      <c r="H78" s="3" t="s">
        <v>180</v>
      </c>
      <c r="I78" s="12" t="s">
        <v>223</v>
      </c>
    </row>
    <row r="79" spans="1:9" x14ac:dyDescent="0.35">
      <c r="A79" s="10" t="s">
        <v>86</v>
      </c>
      <c r="B79" s="3" t="s">
        <v>162</v>
      </c>
      <c r="C79" s="3"/>
      <c r="D79" s="3" t="s">
        <v>175</v>
      </c>
      <c r="E79" s="3">
        <v>69166</v>
      </c>
      <c r="F79" s="17">
        <v>42547</v>
      </c>
      <c r="G79" s="4">
        <v>1</v>
      </c>
      <c r="H79" s="3" t="s">
        <v>181</v>
      </c>
      <c r="I79" s="12" t="s">
        <v>243</v>
      </c>
    </row>
    <row r="80" spans="1:9" x14ac:dyDescent="0.35">
      <c r="A80" s="10" t="s">
        <v>87</v>
      </c>
      <c r="B80" s="3" t="s">
        <v>163</v>
      </c>
      <c r="C80" s="3"/>
      <c r="D80" s="3" t="s">
        <v>175</v>
      </c>
      <c r="E80" s="3">
        <v>78245</v>
      </c>
      <c r="F80" s="17">
        <v>42554</v>
      </c>
      <c r="G80" s="4">
        <v>2</v>
      </c>
      <c r="H80" s="3"/>
      <c r="I80" s="12" t="s">
        <v>244</v>
      </c>
    </row>
    <row r="81" spans="1:9" x14ac:dyDescent="0.35">
      <c r="A81" s="10" t="s">
        <v>88</v>
      </c>
      <c r="B81" s="3" t="s">
        <v>164</v>
      </c>
      <c r="C81" s="3" t="s">
        <v>168</v>
      </c>
      <c r="D81" s="3" t="s">
        <v>173</v>
      </c>
      <c r="E81" s="3">
        <v>66079</v>
      </c>
      <c r="F81" s="17">
        <v>42561</v>
      </c>
      <c r="G81" s="4">
        <v>2</v>
      </c>
      <c r="H81" s="3" t="s">
        <v>179</v>
      </c>
      <c r="I81" s="12" t="s">
        <v>245</v>
      </c>
    </row>
    <row r="82" spans="1:9" x14ac:dyDescent="0.35">
      <c r="A82" s="10" t="s">
        <v>89</v>
      </c>
      <c r="B82" s="3" t="s">
        <v>159</v>
      </c>
      <c r="C82" s="3" t="s">
        <v>170</v>
      </c>
      <c r="D82" s="3" t="s">
        <v>174</v>
      </c>
      <c r="E82" s="3" t="s">
        <v>177</v>
      </c>
      <c r="F82" s="17"/>
      <c r="G82" s="4"/>
      <c r="H82" s="3"/>
      <c r="I82" s="12" t="s">
        <v>208</v>
      </c>
    </row>
    <row r="83" spans="1:9" x14ac:dyDescent="0.35">
      <c r="A83" s="10" t="s">
        <v>90</v>
      </c>
      <c r="B83" s="3" t="s">
        <v>162</v>
      </c>
      <c r="C83" s="3" t="s">
        <v>168</v>
      </c>
      <c r="D83" s="3" t="s">
        <v>173</v>
      </c>
      <c r="E83" s="3">
        <v>95621</v>
      </c>
      <c r="F83" s="17">
        <v>42575</v>
      </c>
      <c r="G83" s="4">
        <v>3</v>
      </c>
      <c r="H83" s="3" t="s">
        <v>181</v>
      </c>
      <c r="I83" s="12" t="s">
        <v>246</v>
      </c>
    </row>
    <row r="84" spans="1:9" x14ac:dyDescent="0.35">
      <c r="A84" s="10" t="s">
        <v>91</v>
      </c>
      <c r="B84" s="3" t="s">
        <v>159</v>
      </c>
      <c r="C84" s="3" t="s">
        <v>169</v>
      </c>
      <c r="D84" s="3" t="s">
        <v>175</v>
      </c>
      <c r="E84" s="3">
        <v>42262</v>
      </c>
      <c r="F84" s="17">
        <v>42582</v>
      </c>
      <c r="G84" s="4">
        <v>1</v>
      </c>
      <c r="H84" s="3"/>
      <c r="I84" s="12" t="s">
        <v>247</v>
      </c>
    </row>
    <row r="85" spans="1:9" x14ac:dyDescent="0.35">
      <c r="A85" s="10" t="s">
        <v>92</v>
      </c>
      <c r="B85" s="3" t="s">
        <v>163</v>
      </c>
      <c r="C85" s="3" t="s">
        <v>168</v>
      </c>
      <c r="D85" s="3" t="s">
        <v>174</v>
      </c>
      <c r="E85" s="3">
        <v>99621</v>
      </c>
      <c r="F85" s="17">
        <v>42589</v>
      </c>
      <c r="G85" s="4"/>
      <c r="H85" s="3" t="s">
        <v>179</v>
      </c>
      <c r="I85" s="12" t="s">
        <v>248</v>
      </c>
    </row>
    <row r="86" spans="1:9" x14ac:dyDescent="0.35">
      <c r="A86" s="10" t="s">
        <v>93</v>
      </c>
      <c r="B86" s="3" t="s">
        <v>161</v>
      </c>
      <c r="C86" s="3" t="s">
        <v>170</v>
      </c>
      <c r="D86" s="3" t="s">
        <v>174</v>
      </c>
      <c r="E86" s="3">
        <v>44682</v>
      </c>
      <c r="F86" s="17">
        <v>42596</v>
      </c>
      <c r="G86" s="4">
        <v>4</v>
      </c>
      <c r="H86" s="3" t="s">
        <v>181</v>
      </c>
      <c r="I86" s="12" t="s">
        <v>220</v>
      </c>
    </row>
    <row r="87" spans="1:9" x14ac:dyDescent="0.35">
      <c r="A87" s="10" t="s">
        <v>94</v>
      </c>
      <c r="B87" s="3" t="s">
        <v>164</v>
      </c>
      <c r="C87" s="3" t="s">
        <v>166</v>
      </c>
      <c r="D87" s="3"/>
      <c r="E87" s="3">
        <v>35163</v>
      </c>
      <c r="F87" s="17">
        <v>42603</v>
      </c>
      <c r="G87" s="4">
        <v>5</v>
      </c>
      <c r="H87" s="3" t="s">
        <v>179</v>
      </c>
      <c r="I87" s="12" t="s">
        <v>249</v>
      </c>
    </row>
    <row r="88" spans="1:9" x14ac:dyDescent="0.35">
      <c r="A88" s="10" t="s">
        <v>95</v>
      </c>
      <c r="B88" s="3" t="s">
        <v>164</v>
      </c>
      <c r="C88" s="3" t="s">
        <v>169</v>
      </c>
      <c r="D88" s="3" t="s">
        <v>174</v>
      </c>
      <c r="E88" s="3">
        <v>33483</v>
      </c>
      <c r="F88" s="17">
        <v>42610</v>
      </c>
      <c r="G88" s="4">
        <v>4</v>
      </c>
      <c r="H88" s="3" t="s">
        <v>180</v>
      </c>
      <c r="I88" s="12" t="s">
        <v>250</v>
      </c>
    </row>
    <row r="89" spans="1:9" x14ac:dyDescent="0.35">
      <c r="A89" s="10" t="s">
        <v>96</v>
      </c>
      <c r="B89" s="3" t="s">
        <v>163</v>
      </c>
      <c r="C89" s="3" t="s">
        <v>167</v>
      </c>
      <c r="D89" s="3" t="s">
        <v>172</v>
      </c>
      <c r="E89" s="3">
        <v>55303</v>
      </c>
      <c r="F89" s="17">
        <v>42617</v>
      </c>
      <c r="G89" s="4">
        <v>4</v>
      </c>
      <c r="H89" s="3" t="s">
        <v>180</v>
      </c>
      <c r="I89" s="12" t="s">
        <v>203</v>
      </c>
    </row>
    <row r="90" spans="1:9" x14ac:dyDescent="0.35">
      <c r="A90" s="10" t="s">
        <v>97</v>
      </c>
      <c r="B90" s="3" t="s">
        <v>164</v>
      </c>
      <c r="C90" s="3" t="s">
        <v>169</v>
      </c>
      <c r="D90" s="3"/>
      <c r="E90" s="3">
        <v>63434</v>
      </c>
      <c r="F90" s="17">
        <v>42624</v>
      </c>
      <c r="G90" s="4">
        <v>3</v>
      </c>
      <c r="H90" s="3"/>
      <c r="I90" s="12" t="s">
        <v>251</v>
      </c>
    </row>
    <row r="91" spans="1:9" x14ac:dyDescent="0.35">
      <c r="A91" s="10" t="s">
        <v>98</v>
      </c>
      <c r="B91" s="3" t="s">
        <v>162</v>
      </c>
      <c r="C91" s="3"/>
      <c r="D91" s="3" t="s">
        <v>176</v>
      </c>
      <c r="E91" s="3">
        <v>38830</v>
      </c>
      <c r="F91" s="17">
        <v>42631</v>
      </c>
      <c r="G91" s="4">
        <v>3</v>
      </c>
      <c r="H91" s="3" t="s">
        <v>179</v>
      </c>
      <c r="I91" s="12" t="s">
        <v>203</v>
      </c>
    </row>
    <row r="92" spans="1:9" x14ac:dyDescent="0.35">
      <c r="A92" s="10" t="s">
        <v>99</v>
      </c>
      <c r="B92" s="3"/>
      <c r="C92" s="3" t="s">
        <v>170</v>
      </c>
      <c r="D92" s="3" t="s">
        <v>175</v>
      </c>
      <c r="E92" s="3">
        <v>50741</v>
      </c>
      <c r="F92" s="17">
        <v>42638</v>
      </c>
      <c r="G92" s="4">
        <v>3</v>
      </c>
      <c r="H92" s="3" t="s">
        <v>178</v>
      </c>
      <c r="I92" s="12" t="s">
        <v>240</v>
      </c>
    </row>
    <row r="93" spans="1:9" x14ac:dyDescent="0.35">
      <c r="A93" s="10" t="s">
        <v>100</v>
      </c>
      <c r="B93" s="3" t="s">
        <v>160</v>
      </c>
      <c r="C93" s="3" t="s">
        <v>167</v>
      </c>
      <c r="D93" s="3" t="s">
        <v>176</v>
      </c>
      <c r="E93" s="3">
        <v>69420</v>
      </c>
      <c r="F93" s="17">
        <v>42645</v>
      </c>
      <c r="G93" s="4">
        <v>1</v>
      </c>
      <c r="H93" s="3" t="s">
        <v>180</v>
      </c>
      <c r="I93" s="12" t="s">
        <v>225</v>
      </c>
    </row>
    <row r="94" spans="1:9" x14ac:dyDescent="0.35">
      <c r="A94" s="10" t="s">
        <v>101</v>
      </c>
      <c r="B94" s="3" t="s">
        <v>162</v>
      </c>
      <c r="C94" s="3" t="s">
        <v>169</v>
      </c>
      <c r="D94" s="3"/>
      <c r="E94" s="3">
        <v>80588</v>
      </c>
      <c r="F94" s="17">
        <v>42652</v>
      </c>
      <c r="G94" s="4">
        <v>5</v>
      </c>
      <c r="H94" s="3" t="s">
        <v>180</v>
      </c>
      <c r="I94" s="12" t="s">
        <v>216</v>
      </c>
    </row>
    <row r="95" spans="1:9" x14ac:dyDescent="0.35">
      <c r="A95" s="10" t="s">
        <v>102</v>
      </c>
      <c r="B95" s="3" t="s">
        <v>160</v>
      </c>
      <c r="C95" s="3"/>
      <c r="D95" s="3" t="s">
        <v>173</v>
      </c>
      <c r="E95" s="3">
        <v>76238</v>
      </c>
      <c r="F95" s="17">
        <v>42659</v>
      </c>
      <c r="G95" s="4">
        <v>4</v>
      </c>
      <c r="H95" s="3" t="s">
        <v>180</v>
      </c>
      <c r="I95" s="12" t="s">
        <v>252</v>
      </c>
    </row>
    <row r="96" spans="1:9" x14ac:dyDescent="0.35">
      <c r="A96" s="10" t="s">
        <v>103</v>
      </c>
      <c r="B96" s="3" t="s">
        <v>165</v>
      </c>
      <c r="C96" s="3" t="s">
        <v>169</v>
      </c>
      <c r="D96" s="3" t="s">
        <v>174</v>
      </c>
      <c r="E96" s="3">
        <v>33264</v>
      </c>
      <c r="F96" s="17">
        <v>42666</v>
      </c>
      <c r="G96" s="4"/>
      <c r="H96" s="3" t="s">
        <v>181</v>
      </c>
      <c r="I96" s="12" t="s">
        <v>253</v>
      </c>
    </row>
    <row r="97" spans="1:9" x14ac:dyDescent="0.35">
      <c r="A97" s="10" t="s">
        <v>104</v>
      </c>
      <c r="B97" s="3" t="s">
        <v>160</v>
      </c>
      <c r="C97" s="3" t="s">
        <v>166</v>
      </c>
      <c r="D97" s="3" t="s">
        <v>176</v>
      </c>
      <c r="E97" s="3">
        <v>96101</v>
      </c>
      <c r="F97" s="17">
        <v>42673</v>
      </c>
      <c r="G97" s="4"/>
      <c r="H97" s="3" t="s">
        <v>179</v>
      </c>
      <c r="I97" s="12" t="s">
        <v>254</v>
      </c>
    </row>
    <row r="98" spans="1:9" x14ac:dyDescent="0.35">
      <c r="A98" s="10" t="s">
        <v>105</v>
      </c>
      <c r="B98" s="3" t="s">
        <v>162</v>
      </c>
      <c r="C98" s="3" t="s">
        <v>166</v>
      </c>
      <c r="D98" s="3" t="s">
        <v>173</v>
      </c>
      <c r="E98" s="3">
        <v>72939</v>
      </c>
      <c r="F98" s="17">
        <v>42680</v>
      </c>
      <c r="G98" s="4">
        <v>3</v>
      </c>
      <c r="H98" s="3"/>
      <c r="I98" s="12" t="s">
        <v>255</v>
      </c>
    </row>
    <row r="99" spans="1:9" x14ac:dyDescent="0.35">
      <c r="A99" s="10" t="s">
        <v>106</v>
      </c>
      <c r="B99" s="3" t="s">
        <v>163</v>
      </c>
      <c r="C99" s="3" t="s">
        <v>167</v>
      </c>
      <c r="D99" s="3" t="s">
        <v>172</v>
      </c>
      <c r="E99" s="3">
        <v>89333</v>
      </c>
      <c r="F99" s="17">
        <v>42687</v>
      </c>
      <c r="G99" s="4">
        <v>1</v>
      </c>
      <c r="H99" s="3" t="s">
        <v>180</v>
      </c>
      <c r="I99" s="12" t="s">
        <v>256</v>
      </c>
    </row>
    <row r="100" spans="1:9" x14ac:dyDescent="0.35">
      <c r="A100" s="10" t="s">
        <v>107</v>
      </c>
      <c r="B100" s="3" t="s">
        <v>165</v>
      </c>
      <c r="C100" s="3" t="s">
        <v>169</v>
      </c>
      <c r="D100" s="3" t="s">
        <v>176</v>
      </c>
      <c r="E100" s="3">
        <v>70470</v>
      </c>
      <c r="F100" s="17">
        <v>42694</v>
      </c>
      <c r="G100" s="4"/>
      <c r="H100" s="3" t="s">
        <v>180</v>
      </c>
      <c r="I100" s="12" t="s">
        <v>257</v>
      </c>
    </row>
    <row r="101" spans="1:9" x14ac:dyDescent="0.35">
      <c r="A101" s="10" t="s">
        <v>108</v>
      </c>
      <c r="B101" s="3" t="s">
        <v>159</v>
      </c>
      <c r="C101" s="3" t="s">
        <v>170</v>
      </c>
      <c r="D101" s="3" t="s">
        <v>173</v>
      </c>
      <c r="E101" s="3">
        <v>70096</v>
      </c>
      <c r="F101" s="17">
        <v>42701</v>
      </c>
      <c r="G101" s="4">
        <v>4</v>
      </c>
      <c r="H101" s="3" t="s">
        <v>180</v>
      </c>
      <c r="I101" s="12" t="s">
        <v>258</v>
      </c>
    </row>
    <row r="102" spans="1:9" x14ac:dyDescent="0.35">
      <c r="A102" s="10" t="s">
        <v>109</v>
      </c>
      <c r="B102" s="3" t="s">
        <v>165</v>
      </c>
      <c r="C102" s="3" t="s">
        <v>170</v>
      </c>
      <c r="D102" s="3" t="s">
        <v>171</v>
      </c>
      <c r="E102" s="3" t="s">
        <v>177</v>
      </c>
      <c r="F102" s="17">
        <v>42708</v>
      </c>
      <c r="G102" s="4">
        <v>2</v>
      </c>
      <c r="H102" s="3" t="s">
        <v>179</v>
      </c>
      <c r="I102" s="12" t="s">
        <v>259</v>
      </c>
    </row>
    <row r="103" spans="1:9" x14ac:dyDescent="0.35">
      <c r="A103" s="10" t="s">
        <v>110</v>
      </c>
      <c r="B103" s="3" t="s">
        <v>165</v>
      </c>
      <c r="C103" s="3" t="s">
        <v>169</v>
      </c>
      <c r="D103" s="3" t="s">
        <v>172</v>
      </c>
      <c r="E103" s="3">
        <v>66503</v>
      </c>
      <c r="F103" s="17">
        <v>42715</v>
      </c>
      <c r="G103" s="4"/>
      <c r="H103" s="3" t="s">
        <v>180</v>
      </c>
      <c r="I103" s="12" t="s">
        <v>200</v>
      </c>
    </row>
    <row r="104" spans="1:9" x14ac:dyDescent="0.35">
      <c r="A104" s="10" t="s">
        <v>111</v>
      </c>
      <c r="B104" s="3" t="s">
        <v>160</v>
      </c>
      <c r="C104" s="3" t="s">
        <v>167</v>
      </c>
      <c r="D104" s="3" t="s">
        <v>172</v>
      </c>
      <c r="E104" s="3">
        <v>42096</v>
      </c>
      <c r="F104" s="17">
        <v>42722</v>
      </c>
      <c r="G104" s="4"/>
      <c r="H104" s="3" t="s">
        <v>181</v>
      </c>
      <c r="I104" s="12" t="s">
        <v>260</v>
      </c>
    </row>
    <row r="105" spans="1:9" x14ac:dyDescent="0.35">
      <c r="A105" s="10" t="s">
        <v>112</v>
      </c>
      <c r="B105" s="3" t="s">
        <v>160</v>
      </c>
      <c r="C105" s="3" t="s">
        <v>170</v>
      </c>
      <c r="D105" s="3"/>
      <c r="E105" s="3">
        <v>79145</v>
      </c>
      <c r="F105" s="17">
        <v>42729</v>
      </c>
      <c r="G105" s="4">
        <v>5</v>
      </c>
      <c r="H105" s="3" t="s">
        <v>179</v>
      </c>
      <c r="I105" s="12" t="s">
        <v>223</v>
      </c>
    </row>
    <row r="106" spans="1:9" x14ac:dyDescent="0.35">
      <c r="A106" s="10" t="s">
        <v>113</v>
      </c>
      <c r="B106" s="3" t="s">
        <v>162</v>
      </c>
      <c r="C106" s="3"/>
      <c r="D106" s="3" t="s">
        <v>176</v>
      </c>
      <c r="E106" s="3">
        <v>61556</v>
      </c>
      <c r="F106" s="17">
        <v>42736</v>
      </c>
      <c r="G106" s="4">
        <v>1</v>
      </c>
      <c r="H106" s="3"/>
      <c r="I106" s="12" t="s">
        <v>259</v>
      </c>
    </row>
    <row r="107" spans="1:9" x14ac:dyDescent="0.35">
      <c r="A107" s="10" t="s">
        <v>114</v>
      </c>
      <c r="B107" s="3"/>
      <c r="C107" s="3" t="s">
        <v>167</v>
      </c>
      <c r="D107" s="3" t="s">
        <v>175</v>
      </c>
      <c r="E107" s="3">
        <v>87963</v>
      </c>
      <c r="F107" s="17">
        <v>42743</v>
      </c>
      <c r="G107" s="4">
        <v>3</v>
      </c>
      <c r="H107" s="3" t="s">
        <v>179</v>
      </c>
      <c r="I107" s="12" t="s">
        <v>182</v>
      </c>
    </row>
    <row r="108" spans="1:9" x14ac:dyDescent="0.35">
      <c r="A108" s="10" t="s">
        <v>115</v>
      </c>
      <c r="B108" s="3" t="s">
        <v>159</v>
      </c>
      <c r="C108" s="3" t="s">
        <v>169</v>
      </c>
      <c r="D108" s="3"/>
      <c r="E108" s="3">
        <v>48325</v>
      </c>
      <c r="F108" s="17">
        <v>42750</v>
      </c>
      <c r="G108" s="4"/>
      <c r="H108" s="3" t="s">
        <v>180</v>
      </c>
      <c r="I108" s="12" t="s">
        <v>261</v>
      </c>
    </row>
    <row r="109" spans="1:9" x14ac:dyDescent="0.35">
      <c r="A109" s="10" t="s">
        <v>116</v>
      </c>
      <c r="B109" s="3" t="s">
        <v>163</v>
      </c>
      <c r="C109" s="3" t="s">
        <v>170</v>
      </c>
      <c r="D109" s="3" t="s">
        <v>176</v>
      </c>
      <c r="E109" s="3">
        <v>86412</v>
      </c>
      <c r="F109" s="17">
        <v>42757</v>
      </c>
      <c r="G109" s="4">
        <v>2</v>
      </c>
      <c r="H109" s="3" t="s">
        <v>181</v>
      </c>
      <c r="I109" s="12" t="s">
        <v>202</v>
      </c>
    </row>
    <row r="110" spans="1:9" x14ac:dyDescent="0.35">
      <c r="A110" s="10" t="s">
        <v>117</v>
      </c>
      <c r="B110" s="3" t="s">
        <v>163</v>
      </c>
      <c r="C110" s="3" t="s">
        <v>167</v>
      </c>
      <c r="D110" s="3"/>
      <c r="E110" s="3">
        <v>66761</v>
      </c>
      <c r="F110" s="17">
        <v>42764</v>
      </c>
      <c r="G110" s="4">
        <v>1</v>
      </c>
      <c r="H110" s="3"/>
      <c r="I110" s="12" t="s">
        <v>262</v>
      </c>
    </row>
    <row r="111" spans="1:9" x14ac:dyDescent="0.35">
      <c r="A111" s="10" t="s">
        <v>118</v>
      </c>
      <c r="B111" s="3" t="s">
        <v>162</v>
      </c>
      <c r="C111" s="3"/>
      <c r="D111" s="3" t="s">
        <v>174</v>
      </c>
      <c r="E111" s="3">
        <v>88850</v>
      </c>
      <c r="F111" s="17">
        <v>42771</v>
      </c>
      <c r="G111" s="4">
        <v>1</v>
      </c>
      <c r="H111" s="3" t="s">
        <v>181</v>
      </c>
      <c r="I111" s="12" t="s">
        <v>263</v>
      </c>
    </row>
    <row r="112" spans="1:9" x14ac:dyDescent="0.35">
      <c r="A112" s="10" t="s">
        <v>119</v>
      </c>
      <c r="B112" s="3" t="s">
        <v>164</v>
      </c>
      <c r="C112" s="3" t="s">
        <v>168</v>
      </c>
      <c r="D112" s="3" t="s">
        <v>174</v>
      </c>
      <c r="E112" s="3">
        <v>31293</v>
      </c>
      <c r="F112" s="17"/>
      <c r="G112" s="4">
        <v>2</v>
      </c>
      <c r="H112" s="3" t="s">
        <v>181</v>
      </c>
      <c r="I112" s="12" t="s">
        <v>264</v>
      </c>
    </row>
    <row r="113" spans="1:9" x14ac:dyDescent="0.35">
      <c r="A113" s="10" t="s">
        <v>120</v>
      </c>
      <c r="B113" s="3" t="s">
        <v>164</v>
      </c>
      <c r="C113" s="3" t="s">
        <v>169</v>
      </c>
      <c r="D113" s="3" t="s">
        <v>173</v>
      </c>
      <c r="E113" s="3">
        <v>34306</v>
      </c>
      <c r="F113" s="17">
        <v>42785</v>
      </c>
      <c r="G113" s="4">
        <v>5</v>
      </c>
      <c r="H113" s="3" t="s">
        <v>181</v>
      </c>
      <c r="I113" s="12" t="s">
        <v>239</v>
      </c>
    </row>
    <row r="114" spans="1:9" x14ac:dyDescent="0.35">
      <c r="A114" s="10" t="s">
        <v>121</v>
      </c>
      <c r="B114" s="3" t="s">
        <v>159</v>
      </c>
      <c r="C114" s="3" t="s">
        <v>166</v>
      </c>
      <c r="D114" s="3" t="s">
        <v>174</v>
      </c>
      <c r="E114" s="3">
        <v>78330</v>
      </c>
      <c r="F114" s="17">
        <v>42792</v>
      </c>
      <c r="G114" s="4"/>
      <c r="H114" s="3" t="s">
        <v>179</v>
      </c>
      <c r="I114" s="12" t="s">
        <v>258</v>
      </c>
    </row>
    <row r="115" spans="1:9" x14ac:dyDescent="0.35">
      <c r="A115" s="10" t="s">
        <v>122</v>
      </c>
      <c r="B115" s="3" t="s">
        <v>160</v>
      </c>
      <c r="C115" s="3" t="s">
        <v>169</v>
      </c>
      <c r="D115" s="3" t="s">
        <v>173</v>
      </c>
      <c r="E115" s="3">
        <v>47653</v>
      </c>
      <c r="F115" s="17">
        <v>42799</v>
      </c>
      <c r="G115" s="4">
        <v>1</v>
      </c>
      <c r="H115" s="3" t="s">
        <v>180</v>
      </c>
      <c r="I115" s="12" t="s">
        <v>265</v>
      </c>
    </row>
    <row r="116" spans="1:9" x14ac:dyDescent="0.35">
      <c r="A116" s="10" t="s">
        <v>123</v>
      </c>
      <c r="B116" s="3" t="s">
        <v>159</v>
      </c>
      <c r="C116" s="3" t="s">
        <v>170</v>
      </c>
      <c r="D116" s="3" t="s">
        <v>175</v>
      </c>
      <c r="E116" s="3">
        <v>44627</v>
      </c>
      <c r="F116" s="17">
        <v>42806</v>
      </c>
      <c r="G116" s="4">
        <v>4</v>
      </c>
      <c r="H116" s="3"/>
      <c r="I116" s="12" t="s">
        <v>235</v>
      </c>
    </row>
    <row r="117" spans="1:9" x14ac:dyDescent="0.35">
      <c r="A117" s="10" t="s">
        <v>124</v>
      </c>
      <c r="B117" s="3" t="s">
        <v>165</v>
      </c>
      <c r="C117" s="3" t="s">
        <v>167</v>
      </c>
      <c r="D117" s="3" t="s">
        <v>172</v>
      </c>
      <c r="E117" s="3">
        <v>92343</v>
      </c>
      <c r="F117" s="17">
        <v>42813</v>
      </c>
      <c r="G117" s="4">
        <v>4</v>
      </c>
      <c r="H117" s="3" t="s">
        <v>181</v>
      </c>
      <c r="I117" s="12" t="s">
        <v>203</v>
      </c>
    </row>
    <row r="118" spans="1:9" x14ac:dyDescent="0.35">
      <c r="A118" s="10" t="s">
        <v>125</v>
      </c>
      <c r="B118" s="3" t="s">
        <v>165</v>
      </c>
      <c r="C118" s="3" t="s">
        <v>170</v>
      </c>
      <c r="D118" s="3" t="s">
        <v>176</v>
      </c>
      <c r="E118" s="3">
        <v>38837</v>
      </c>
      <c r="F118" s="17">
        <v>42820</v>
      </c>
      <c r="G118" s="4">
        <v>5</v>
      </c>
      <c r="H118" s="3" t="s">
        <v>181</v>
      </c>
      <c r="I118" s="12" t="s">
        <v>239</v>
      </c>
    </row>
    <row r="119" spans="1:9" x14ac:dyDescent="0.35">
      <c r="A119" s="10" t="s">
        <v>126</v>
      </c>
      <c r="B119" s="3" t="s">
        <v>165</v>
      </c>
      <c r="C119" s="3" t="s">
        <v>170</v>
      </c>
      <c r="D119" s="3"/>
      <c r="E119" s="3">
        <v>73483</v>
      </c>
      <c r="F119" s="17">
        <v>42827</v>
      </c>
      <c r="G119" s="4">
        <v>1</v>
      </c>
      <c r="H119" s="3"/>
      <c r="I119" s="12" t="s">
        <v>266</v>
      </c>
    </row>
    <row r="120" spans="1:9" x14ac:dyDescent="0.35">
      <c r="A120" s="10" t="s">
        <v>127</v>
      </c>
      <c r="B120" s="3" t="s">
        <v>164</v>
      </c>
      <c r="C120" s="3" t="s">
        <v>168</v>
      </c>
      <c r="D120" s="3" t="s">
        <v>174</v>
      </c>
      <c r="E120" s="3">
        <v>95032</v>
      </c>
      <c r="F120" s="17">
        <v>42834</v>
      </c>
      <c r="G120" s="4">
        <v>3</v>
      </c>
      <c r="H120" s="3"/>
      <c r="I120" s="12" t="s">
        <v>267</v>
      </c>
    </row>
    <row r="121" spans="1:9" x14ac:dyDescent="0.35">
      <c r="A121" s="10" t="s">
        <v>128</v>
      </c>
      <c r="B121" s="3" t="s">
        <v>159</v>
      </c>
      <c r="C121" s="3" t="s">
        <v>168</v>
      </c>
      <c r="D121" s="3" t="s">
        <v>176</v>
      </c>
      <c r="E121" s="3">
        <v>44358</v>
      </c>
      <c r="F121" s="17">
        <v>42841</v>
      </c>
      <c r="G121" s="4"/>
      <c r="H121" s="3" t="s">
        <v>181</v>
      </c>
      <c r="I121" s="12" t="s">
        <v>200</v>
      </c>
    </row>
    <row r="122" spans="1:9" x14ac:dyDescent="0.35">
      <c r="A122" s="10" t="s">
        <v>129</v>
      </c>
      <c r="B122" s="3"/>
      <c r="C122" s="3" t="s">
        <v>169</v>
      </c>
      <c r="D122" s="3" t="s">
        <v>173</v>
      </c>
      <c r="E122" s="3" t="s">
        <v>177</v>
      </c>
      <c r="F122" s="17"/>
      <c r="G122" s="4">
        <v>5</v>
      </c>
      <c r="H122" s="3" t="s">
        <v>178</v>
      </c>
      <c r="I122" s="12" t="s">
        <v>268</v>
      </c>
    </row>
    <row r="123" spans="1:9" x14ac:dyDescent="0.35">
      <c r="A123" s="10" t="s">
        <v>130</v>
      </c>
      <c r="B123" s="3" t="s">
        <v>164</v>
      </c>
      <c r="C123" s="3" t="s">
        <v>168</v>
      </c>
      <c r="D123" s="3" t="s">
        <v>173</v>
      </c>
      <c r="E123" s="3">
        <v>45676</v>
      </c>
      <c r="F123" s="17">
        <v>42855</v>
      </c>
      <c r="G123" s="4">
        <v>2</v>
      </c>
      <c r="H123" s="3"/>
      <c r="I123" s="12" t="s">
        <v>269</v>
      </c>
    </row>
    <row r="124" spans="1:9" x14ac:dyDescent="0.35">
      <c r="A124" s="10" t="s">
        <v>131</v>
      </c>
      <c r="B124" s="3" t="s">
        <v>165</v>
      </c>
      <c r="C124" s="3" t="s">
        <v>168</v>
      </c>
      <c r="D124" s="3" t="s">
        <v>172</v>
      </c>
      <c r="E124" s="3">
        <v>52036</v>
      </c>
      <c r="F124" s="17">
        <v>42862</v>
      </c>
      <c r="G124" s="4">
        <v>3</v>
      </c>
      <c r="H124" s="3" t="s">
        <v>180</v>
      </c>
      <c r="I124" s="12" t="s">
        <v>270</v>
      </c>
    </row>
    <row r="125" spans="1:9" x14ac:dyDescent="0.35">
      <c r="A125" s="10" t="s">
        <v>132</v>
      </c>
      <c r="B125" s="3" t="s">
        <v>162</v>
      </c>
      <c r="C125" s="3"/>
      <c r="D125" s="3" t="s">
        <v>172</v>
      </c>
      <c r="E125" s="3">
        <v>30357</v>
      </c>
      <c r="F125" s="17">
        <v>42869</v>
      </c>
      <c r="G125" s="4">
        <v>5</v>
      </c>
      <c r="H125" s="3" t="s">
        <v>180</v>
      </c>
      <c r="I125" s="12" t="s">
        <v>248</v>
      </c>
    </row>
    <row r="126" spans="1:9" x14ac:dyDescent="0.35">
      <c r="A126" s="10" t="s">
        <v>133</v>
      </c>
      <c r="B126" s="3" t="s">
        <v>161</v>
      </c>
      <c r="C126" s="3" t="s">
        <v>169</v>
      </c>
      <c r="D126" s="3"/>
      <c r="E126" s="3">
        <v>60034</v>
      </c>
      <c r="F126" s="17">
        <v>42876</v>
      </c>
      <c r="G126" s="4">
        <v>1</v>
      </c>
      <c r="H126" s="3" t="s">
        <v>181</v>
      </c>
      <c r="I126" s="12" t="s">
        <v>271</v>
      </c>
    </row>
    <row r="127" spans="1:9" x14ac:dyDescent="0.35">
      <c r="A127" s="10" t="s">
        <v>134</v>
      </c>
      <c r="B127" s="3" t="s">
        <v>161</v>
      </c>
      <c r="C127" s="3" t="s">
        <v>166</v>
      </c>
      <c r="D127" s="3" t="s">
        <v>171</v>
      </c>
      <c r="E127" s="3">
        <v>90019</v>
      </c>
      <c r="F127" s="17">
        <v>42883</v>
      </c>
      <c r="G127" s="4">
        <v>5</v>
      </c>
      <c r="H127" s="3"/>
      <c r="I127" s="12" t="s">
        <v>272</v>
      </c>
    </row>
    <row r="128" spans="1:9" x14ac:dyDescent="0.35">
      <c r="A128" s="10" t="s">
        <v>135</v>
      </c>
      <c r="B128" s="3" t="s">
        <v>165</v>
      </c>
      <c r="C128" s="3"/>
      <c r="D128" s="3" t="s">
        <v>172</v>
      </c>
      <c r="E128" s="3">
        <v>71494</v>
      </c>
      <c r="F128" s="17">
        <v>42890</v>
      </c>
      <c r="G128" s="4">
        <v>3</v>
      </c>
      <c r="H128" s="3" t="s">
        <v>180</v>
      </c>
      <c r="I128" s="12" t="s">
        <v>273</v>
      </c>
    </row>
    <row r="129" spans="1:9" x14ac:dyDescent="0.35">
      <c r="A129" s="10" t="s">
        <v>136</v>
      </c>
      <c r="B129" s="3" t="s">
        <v>161</v>
      </c>
      <c r="C129" s="3" t="s">
        <v>166</v>
      </c>
      <c r="D129" s="3" t="s">
        <v>173</v>
      </c>
      <c r="E129" s="3">
        <v>91953</v>
      </c>
      <c r="F129" s="17">
        <v>42897</v>
      </c>
      <c r="G129" s="4">
        <v>2</v>
      </c>
      <c r="H129" s="3" t="s">
        <v>180</v>
      </c>
      <c r="I129" s="12" t="s">
        <v>209</v>
      </c>
    </row>
    <row r="130" spans="1:9" x14ac:dyDescent="0.35">
      <c r="A130" s="10" t="s">
        <v>137</v>
      </c>
      <c r="B130" s="3" t="s">
        <v>164</v>
      </c>
      <c r="C130" s="3" t="s">
        <v>168</v>
      </c>
      <c r="D130" s="3" t="s">
        <v>173</v>
      </c>
      <c r="E130" s="3">
        <v>30402</v>
      </c>
      <c r="F130" s="17">
        <v>42904</v>
      </c>
      <c r="G130" s="4">
        <v>1</v>
      </c>
      <c r="H130" s="3"/>
      <c r="I130" s="12" t="s">
        <v>274</v>
      </c>
    </row>
    <row r="131" spans="1:9" x14ac:dyDescent="0.35">
      <c r="A131" s="10" t="s">
        <v>138</v>
      </c>
      <c r="B131" s="3" t="s">
        <v>165</v>
      </c>
      <c r="C131" s="3"/>
      <c r="D131" s="3" t="s">
        <v>175</v>
      </c>
      <c r="E131" s="3">
        <v>62994</v>
      </c>
      <c r="F131" s="17">
        <v>42911</v>
      </c>
      <c r="G131" s="4"/>
      <c r="H131" s="3"/>
      <c r="I131" s="12" t="s">
        <v>221</v>
      </c>
    </row>
    <row r="132" spans="1:9" x14ac:dyDescent="0.35">
      <c r="A132" s="10" t="s">
        <v>139</v>
      </c>
      <c r="B132" s="3" t="s">
        <v>160</v>
      </c>
      <c r="C132" s="3" t="s">
        <v>168</v>
      </c>
      <c r="D132" s="3" t="s">
        <v>174</v>
      </c>
      <c r="E132" s="3">
        <v>48289</v>
      </c>
      <c r="F132" s="17"/>
      <c r="G132" s="4">
        <v>3</v>
      </c>
      <c r="H132" s="3" t="s">
        <v>180</v>
      </c>
      <c r="I132" s="12" t="s">
        <v>189</v>
      </c>
    </row>
    <row r="133" spans="1:9" x14ac:dyDescent="0.35">
      <c r="A133" s="10" t="s">
        <v>140</v>
      </c>
      <c r="B133" s="3" t="s">
        <v>163</v>
      </c>
      <c r="C133" s="3" t="s">
        <v>170</v>
      </c>
      <c r="D133" s="3" t="s">
        <v>172</v>
      </c>
      <c r="E133" s="3">
        <v>34402</v>
      </c>
      <c r="F133" s="17">
        <v>42925</v>
      </c>
      <c r="G133" s="4">
        <v>3</v>
      </c>
      <c r="H133" s="3" t="s">
        <v>179</v>
      </c>
      <c r="I133" s="12" t="s">
        <v>218</v>
      </c>
    </row>
    <row r="134" spans="1:9" x14ac:dyDescent="0.35">
      <c r="A134" s="10" t="s">
        <v>141</v>
      </c>
      <c r="B134" s="3" t="s">
        <v>159</v>
      </c>
      <c r="C134" s="3" t="s">
        <v>167</v>
      </c>
      <c r="D134" s="3" t="s">
        <v>173</v>
      </c>
      <c r="E134" s="3">
        <v>38678</v>
      </c>
      <c r="F134" s="17">
        <v>42932</v>
      </c>
      <c r="G134" s="4">
        <v>3</v>
      </c>
      <c r="H134" s="3" t="s">
        <v>179</v>
      </c>
      <c r="I134" s="12" t="s">
        <v>275</v>
      </c>
    </row>
    <row r="135" spans="1:9" x14ac:dyDescent="0.35">
      <c r="A135" s="10" t="s">
        <v>142</v>
      </c>
      <c r="B135" s="3" t="s">
        <v>164</v>
      </c>
      <c r="C135" s="3" t="s">
        <v>167</v>
      </c>
      <c r="D135" s="3" t="s">
        <v>172</v>
      </c>
      <c r="E135" s="3">
        <v>45758</v>
      </c>
      <c r="F135" s="17">
        <v>42939</v>
      </c>
      <c r="G135" s="4">
        <v>3</v>
      </c>
      <c r="H135" s="3"/>
      <c r="I135" s="12" t="s">
        <v>264</v>
      </c>
    </row>
    <row r="136" spans="1:9" x14ac:dyDescent="0.35">
      <c r="A136" s="10" t="s">
        <v>143</v>
      </c>
      <c r="B136" s="3" t="s">
        <v>159</v>
      </c>
      <c r="C136" s="3" t="s">
        <v>170</v>
      </c>
      <c r="D136" s="3" t="s">
        <v>174</v>
      </c>
      <c r="E136" s="3">
        <v>62476</v>
      </c>
      <c r="F136" s="17">
        <v>42946</v>
      </c>
      <c r="G136" s="4">
        <v>1</v>
      </c>
      <c r="H136" s="3" t="s">
        <v>179</v>
      </c>
      <c r="I136" s="12" t="s">
        <v>231</v>
      </c>
    </row>
    <row r="137" spans="1:9" x14ac:dyDescent="0.35">
      <c r="A137" s="10" t="s">
        <v>144</v>
      </c>
      <c r="B137" s="3"/>
      <c r="C137" s="3" t="s">
        <v>169</v>
      </c>
      <c r="D137" s="3" t="s">
        <v>175</v>
      </c>
      <c r="E137" s="3">
        <v>39280</v>
      </c>
      <c r="F137" s="17">
        <v>42953</v>
      </c>
      <c r="G137" s="4">
        <v>3</v>
      </c>
      <c r="H137" s="3" t="s">
        <v>181</v>
      </c>
      <c r="I137" s="12" t="s">
        <v>214</v>
      </c>
    </row>
    <row r="138" spans="1:9" x14ac:dyDescent="0.35">
      <c r="A138" s="10" t="s">
        <v>145</v>
      </c>
      <c r="B138" s="3" t="s">
        <v>162</v>
      </c>
      <c r="C138" s="3" t="s">
        <v>166</v>
      </c>
      <c r="D138" s="3" t="s">
        <v>174</v>
      </c>
      <c r="E138" s="3">
        <v>60335</v>
      </c>
      <c r="F138" s="17">
        <v>42960</v>
      </c>
      <c r="G138" s="4">
        <v>4</v>
      </c>
      <c r="H138" s="3" t="s">
        <v>179</v>
      </c>
      <c r="I138" s="12" t="s">
        <v>227</v>
      </c>
    </row>
    <row r="139" spans="1:9" x14ac:dyDescent="0.35">
      <c r="A139" s="10" t="s">
        <v>146</v>
      </c>
      <c r="B139" s="3" t="s">
        <v>164</v>
      </c>
      <c r="C139" s="3" t="s">
        <v>167</v>
      </c>
      <c r="D139" s="3" t="s">
        <v>172</v>
      </c>
      <c r="E139" s="3">
        <v>84968</v>
      </c>
      <c r="F139" s="17">
        <v>42967</v>
      </c>
      <c r="G139" s="4"/>
      <c r="H139" s="3"/>
      <c r="I139" s="12" t="s">
        <v>276</v>
      </c>
    </row>
    <row r="140" spans="1:9" x14ac:dyDescent="0.35">
      <c r="A140" s="10" t="s">
        <v>147</v>
      </c>
      <c r="B140" s="3" t="s">
        <v>164</v>
      </c>
      <c r="C140" s="3" t="s">
        <v>170</v>
      </c>
      <c r="D140" s="3" t="s">
        <v>176</v>
      </c>
      <c r="E140" s="3">
        <v>84750</v>
      </c>
      <c r="F140" s="17">
        <v>42974</v>
      </c>
      <c r="G140" s="4">
        <v>4</v>
      </c>
      <c r="H140" s="3" t="s">
        <v>181</v>
      </c>
      <c r="I140" s="12" t="s">
        <v>195</v>
      </c>
    </row>
    <row r="141" spans="1:9" x14ac:dyDescent="0.35">
      <c r="A141" s="10" t="s">
        <v>148</v>
      </c>
      <c r="B141" s="3" t="s">
        <v>165</v>
      </c>
      <c r="C141" s="3" t="s">
        <v>169</v>
      </c>
      <c r="D141" s="3"/>
      <c r="E141" s="3">
        <v>73348</v>
      </c>
      <c r="F141" s="17">
        <v>42981</v>
      </c>
      <c r="G141" s="4">
        <v>2</v>
      </c>
      <c r="H141" s="3"/>
      <c r="I141" s="12" t="s">
        <v>243</v>
      </c>
    </row>
    <row r="142" spans="1:9" x14ac:dyDescent="0.35">
      <c r="A142" s="10" t="s">
        <v>149</v>
      </c>
      <c r="B142" s="3" t="s">
        <v>164</v>
      </c>
      <c r="C142" s="3" t="s">
        <v>168</v>
      </c>
      <c r="D142" s="3" t="s">
        <v>173</v>
      </c>
      <c r="E142" s="3" t="s">
        <v>177</v>
      </c>
      <c r="F142" s="17">
        <v>42988</v>
      </c>
      <c r="G142" s="4">
        <v>4</v>
      </c>
      <c r="H142" s="3" t="s">
        <v>179</v>
      </c>
      <c r="I142" s="12" t="s">
        <v>182</v>
      </c>
    </row>
    <row r="143" spans="1:9" x14ac:dyDescent="0.35">
      <c r="A143" s="10" t="s">
        <v>150</v>
      </c>
      <c r="B143" s="3" t="s">
        <v>162</v>
      </c>
      <c r="C143" s="3" t="s">
        <v>170</v>
      </c>
      <c r="D143" s="3" t="s">
        <v>173</v>
      </c>
      <c r="E143" s="3">
        <v>66882</v>
      </c>
      <c r="F143" s="17">
        <v>42995</v>
      </c>
      <c r="G143" s="4">
        <v>5</v>
      </c>
      <c r="H143" s="3" t="s">
        <v>179</v>
      </c>
      <c r="I143" s="12" t="s">
        <v>207</v>
      </c>
    </row>
    <row r="144" spans="1:9" x14ac:dyDescent="0.35">
      <c r="A144" s="10" t="s">
        <v>151</v>
      </c>
      <c r="B144" s="3" t="s">
        <v>160</v>
      </c>
      <c r="C144" s="3" t="s">
        <v>170</v>
      </c>
      <c r="D144" s="3"/>
      <c r="E144" s="3">
        <v>86775</v>
      </c>
      <c r="F144" s="17">
        <v>43002</v>
      </c>
      <c r="G144" s="4">
        <v>3</v>
      </c>
      <c r="H144" s="3" t="s">
        <v>179</v>
      </c>
      <c r="I144" s="12" t="s">
        <v>212</v>
      </c>
    </row>
    <row r="145" spans="1:9" x14ac:dyDescent="0.35">
      <c r="A145" s="10" t="s">
        <v>152</v>
      </c>
      <c r="B145" s="3" t="s">
        <v>164</v>
      </c>
      <c r="C145" s="3" t="s">
        <v>168</v>
      </c>
      <c r="D145" s="3" t="s">
        <v>175</v>
      </c>
      <c r="E145" s="3">
        <v>91620</v>
      </c>
      <c r="F145" s="17">
        <v>43009</v>
      </c>
      <c r="G145" s="4"/>
      <c r="H145" s="3"/>
      <c r="I145" s="12" t="s">
        <v>277</v>
      </c>
    </row>
    <row r="146" spans="1:9" x14ac:dyDescent="0.35">
      <c r="A146" s="10" t="s">
        <v>153</v>
      </c>
      <c r="B146" s="3" t="s">
        <v>159</v>
      </c>
      <c r="C146" s="3"/>
      <c r="D146" s="3"/>
      <c r="E146" s="3">
        <v>94148</v>
      </c>
      <c r="F146" s="17">
        <v>43016</v>
      </c>
      <c r="G146" s="4">
        <v>2</v>
      </c>
      <c r="H146" s="3"/>
      <c r="I146" s="12" t="s">
        <v>278</v>
      </c>
    </row>
    <row r="147" spans="1:9" x14ac:dyDescent="0.35">
      <c r="A147" s="10" t="s">
        <v>154</v>
      </c>
      <c r="B147" s="3" t="s">
        <v>163</v>
      </c>
      <c r="C147" s="3" t="s">
        <v>168</v>
      </c>
      <c r="D147" s="3" t="s">
        <v>176</v>
      </c>
      <c r="E147" s="3">
        <v>35627</v>
      </c>
      <c r="F147" s="17">
        <v>43023</v>
      </c>
      <c r="G147" s="4">
        <v>5</v>
      </c>
      <c r="H147" s="3" t="s">
        <v>181</v>
      </c>
      <c r="I147" s="12" t="s">
        <v>275</v>
      </c>
    </row>
    <row r="148" spans="1:9" x14ac:dyDescent="0.35">
      <c r="A148" s="10" t="s">
        <v>155</v>
      </c>
      <c r="B148" s="3" t="s">
        <v>161</v>
      </c>
      <c r="C148" s="3" t="s">
        <v>170</v>
      </c>
      <c r="D148" s="3" t="s">
        <v>173</v>
      </c>
      <c r="E148" s="3">
        <v>57141</v>
      </c>
      <c r="F148" s="17">
        <v>43030</v>
      </c>
      <c r="G148" s="4">
        <v>2</v>
      </c>
      <c r="H148" s="3"/>
      <c r="I148" s="12" t="s">
        <v>276</v>
      </c>
    </row>
    <row r="149" spans="1:9" x14ac:dyDescent="0.35">
      <c r="A149" s="10" t="s">
        <v>156</v>
      </c>
      <c r="B149" s="3" t="s">
        <v>165</v>
      </c>
      <c r="C149" s="3" t="s">
        <v>168</v>
      </c>
      <c r="D149" s="3" t="s">
        <v>176</v>
      </c>
      <c r="E149" s="3">
        <v>65270</v>
      </c>
      <c r="F149" s="17">
        <v>43037</v>
      </c>
      <c r="G149" s="4">
        <v>1</v>
      </c>
      <c r="H149" s="3"/>
      <c r="I149" s="12" t="s">
        <v>279</v>
      </c>
    </row>
    <row r="150" spans="1:9" x14ac:dyDescent="0.35">
      <c r="A150" s="10" t="s">
        <v>157</v>
      </c>
      <c r="B150" s="3" t="s">
        <v>165</v>
      </c>
      <c r="C150" s="3"/>
      <c r="D150" s="3" t="s">
        <v>175</v>
      </c>
      <c r="E150" s="3">
        <v>67335</v>
      </c>
      <c r="F150" s="17">
        <v>43044</v>
      </c>
      <c r="G150" s="4">
        <v>1</v>
      </c>
      <c r="H150" s="3" t="s">
        <v>179</v>
      </c>
      <c r="I150" s="12" t="s">
        <v>233</v>
      </c>
    </row>
    <row r="151" spans="1:9" x14ac:dyDescent="0.35">
      <c r="A151" s="11" t="s">
        <v>158</v>
      </c>
      <c r="B151" s="8" t="s">
        <v>163</v>
      </c>
      <c r="C151" s="8" t="s">
        <v>170</v>
      </c>
      <c r="D151" s="8" t="s">
        <v>174</v>
      </c>
      <c r="E151" s="8">
        <v>98475</v>
      </c>
      <c r="F151" s="18">
        <v>43051</v>
      </c>
      <c r="G151" s="9">
        <v>5</v>
      </c>
      <c r="H151" s="8" t="s">
        <v>179</v>
      </c>
      <c r="I151" s="13" t="s">
        <v>280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AFE79-E9E0-4596-ABCC-6B55E5521744}">
  <dimension ref="C4:D8"/>
  <sheetViews>
    <sheetView topLeftCell="A7" workbookViewId="0">
      <selection activeCell="C22" sqref="C22:C26"/>
    </sheetView>
  </sheetViews>
  <sheetFormatPr defaultRowHeight="14.5" x14ac:dyDescent="0.35"/>
  <cols>
    <col min="3" max="3" width="34.453125" customWidth="1"/>
  </cols>
  <sheetData>
    <row r="4" spans="3:4" x14ac:dyDescent="0.35">
      <c r="C4" s="3" t="s">
        <v>295</v>
      </c>
      <c r="D4" s="3"/>
    </row>
    <row r="5" spans="3:4" x14ac:dyDescent="0.35">
      <c r="C5" s="3" t="s">
        <v>281</v>
      </c>
      <c r="D5" s="3"/>
    </row>
    <row r="6" spans="3:4" x14ac:dyDescent="0.35">
      <c r="C6" s="3" t="s">
        <v>282</v>
      </c>
      <c r="D6" s="3"/>
    </row>
    <row r="7" spans="3:4" x14ac:dyDescent="0.35">
      <c r="C7" s="3" t="s">
        <v>283</v>
      </c>
      <c r="D7" s="3"/>
    </row>
    <row r="8" spans="3:4" x14ac:dyDescent="0.35">
      <c r="C8" s="3" t="s">
        <v>284</v>
      </c>
      <c r="D8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4D05D-591E-487F-8871-350613D5079D}">
  <dimension ref="A1:L157"/>
  <sheetViews>
    <sheetView tabSelected="1" topLeftCell="A136" workbookViewId="0">
      <selection activeCell="A136" sqref="A1:XFD1048576"/>
    </sheetView>
  </sheetViews>
  <sheetFormatPr defaultRowHeight="14.5" x14ac:dyDescent="0.35"/>
  <cols>
    <col min="1" max="1" width="11.90625" style="1" customWidth="1"/>
    <col min="2" max="2" width="21.6328125" customWidth="1"/>
    <col min="3" max="3" width="13.6328125" customWidth="1"/>
    <col min="4" max="4" width="10.81640625" customWidth="1"/>
    <col min="5" max="5" width="14.90625" customWidth="1"/>
    <col min="6" max="6" width="15.7265625" style="16" customWidth="1"/>
    <col min="7" max="7" width="12.54296875" style="1" customWidth="1"/>
    <col min="8" max="8" width="12" customWidth="1"/>
    <col min="9" max="9" width="26" style="14" customWidth="1"/>
    <col min="10" max="10" width="12.54296875" customWidth="1"/>
  </cols>
  <sheetData>
    <row r="1" spans="1:11" s="2" customFormat="1" ht="43.5" x14ac:dyDescent="0.35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15" t="s">
        <v>5</v>
      </c>
      <c r="G1" s="6" t="s">
        <v>6</v>
      </c>
      <c r="H1" s="6" t="s">
        <v>7</v>
      </c>
      <c r="I1" s="7" t="s">
        <v>8</v>
      </c>
      <c r="J1" s="6" t="s">
        <v>289</v>
      </c>
      <c r="K1" s="2" t="s">
        <v>6</v>
      </c>
    </row>
    <row r="2" spans="1:11" x14ac:dyDescent="0.35">
      <c r="A2" s="10" t="s">
        <v>9</v>
      </c>
      <c r="B2" s="3" t="s">
        <v>178</v>
      </c>
      <c r="C2" s="3" t="s">
        <v>166</v>
      </c>
      <c r="D2" s="3" t="s">
        <v>171</v>
      </c>
      <c r="E2" s="19">
        <f ca="1">AVERAGE(Table14[Salary])</f>
        <v>66280.929577464791</v>
      </c>
      <c r="F2" s="17">
        <v>42008</v>
      </c>
      <c r="G2" s="4">
        <v>2</v>
      </c>
      <c r="H2" s="3" t="s">
        <v>178</v>
      </c>
      <c r="I2" s="12" t="s">
        <v>182</v>
      </c>
      <c r="J2">
        <v>54255</v>
      </c>
      <c r="K2">
        <v>2</v>
      </c>
    </row>
    <row r="3" spans="1:11" x14ac:dyDescent="0.35">
      <c r="A3" s="10" t="s">
        <v>10</v>
      </c>
      <c r="B3" s="3" t="s">
        <v>159</v>
      </c>
      <c r="C3" s="3" t="s">
        <v>167</v>
      </c>
      <c r="D3" s="3" t="s">
        <v>172</v>
      </c>
      <c r="E3" s="3">
        <v>54255</v>
      </c>
      <c r="F3" s="17">
        <v>42015</v>
      </c>
      <c r="G3" s="4">
        <v>1</v>
      </c>
      <c r="H3" s="3" t="s">
        <v>179</v>
      </c>
      <c r="I3" s="12" t="s">
        <v>183</v>
      </c>
      <c r="J3">
        <v>63184</v>
      </c>
      <c r="K3">
        <v>1</v>
      </c>
    </row>
    <row r="4" spans="1:11" x14ac:dyDescent="0.35">
      <c r="A4" s="10" t="s">
        <v>11</v>
      </c>
      <c r="B4" s="3" t="s">
        <v>160</v>
      </c>
      <c r="C4" s="3" t="s">
        <v>166</v>
      </c>
      <c r="D4" s="3" t="s">
        <v>172</v>
      </c>
      <c r="E4" s="3">
        <v>63184</v>
      </c>
      <c r="F4" s="17">
        <v>42022</v>
      </c>
      <c r="G4" s="4">
        <v>2</v>
      </c>
      <c r="H4" s="3"/>
      <c r="I4" s="12" t="s">
        <v>184</v>
      </c>
      <c r="J4">
        <v>94406</v>
      </c>
      <c r="K4">
        <v>2</v>
      </c>
    </row>
    <row r="5" spans="1:11" x14ac:dyDescent="0.35">
      <c r="A5" s="10" t="s">
        <v>12</v>
      </c>
      <c r="B5" s="3" t="s">
        <v>161</v>
      </c>
      <c r="C5" s="3" t="s">
        <v>168</v>
      </c>
      <c r="D5" s="3" t="s">
        <v>173</v>
      </c>
      <c r="E5" s="3">
        <v>94406</v>
      </c>
      <c r="F5" s="17">
        <v>42029</v>
      </c>
      <c r="G5" s="4">
        <v>1</v>
      </c>
      <c r="H5" s="3" t="s">
        <v>180</v>
      </c>
      <c r="I5" s="12" t="s">
        <v>185</v>
      </c>
      <c r="J5">
        <v>64120</v>
      </c>
      <c r="K5">
        <v>1</v>
      </c>
    </row>
    <row r="6" spans="1:11" x14ac:dyDescent="0.35">
      <c r="A6" s="10" t="s">
        <v>13</v>
      </c>
      <c r="B6" s="3" t="s">
        <v>162</v>
      </c>
      <c r="C6" s="3" t="s">
        <v>168</v>
      </c>
      <c r="D6" s="3" t="s">
        <v>172</v>
      </c>
      <c r="E6" s="3">
        <v>64120</v>
      </c>
      <c r="F6" s="17">
        <v>42036</v>
      </c>
      <c r="G6" s="4">
        <v>1</v>
      </c>
      <c r="H6" s="3" t="s">
        <v>180</v>
      </c>
      <c r="I6" s="12" t="s">
        <v>186</v>
      </c>
      <c r="J6">
        <v>78421</v>
      </c>
      <c r="K6">
        <v>1</v>
      </c>
    </row>
    <row r="7" spans="1:11" x14ac:dyDescent="0.35">
      <c r="A7" s="10" t="s">
        <v>14</v>
      </c>
      <c r="B7" s="3" t="s">
        <v>160</v>
      </c>
      <c r="C7" s="3" t="s">
        <v>169</v>
      </c>
      <c r="D7" s="3" t="s">
        <v>174</v>
      </c>
      <c r="E7" s="3">
        <v>78421</v>
      </c>
      <c r="F7" s="17">
        <v>42043</v>
      </c>
      <c r="G7" s="4">
        <v>2</v>
      </c>
      <c r="H7" s="3" t="s">
        <v>181</v>
      </c>
      <c r="I7" s="12" t="s">
        <v>187</v>
      </c>
      <c r="J7">
        <v>67721</v>
      </c>
      <c r="K7">
        <v>2</v>
      </c>
    </row>
    <row r="8" spans="1:11" x14ac:dyDescent="0.35">
      <c r="A8" s="10" t="s">
        <v>15</v>
      </c>
      <c r="B8" s="3" t="s">
        <v>163</v>
      </c>
      <c r="C8" s="3" t="s">
        <v>168</v>
      </c>
      <c r="D8" s="3"/>
      <c r="E8" s="3">
        <v>67721</v>
      </c>
      <c r="F8" s="17">
        <v>42050</v>
      </c>
      <c r="G8" s="21">
        <f>IF(ISBLANK(G2), G1, G2)</f>
        <v>2</v>
      </c>
      <c r="H8" s="3" t="s">
        <v>180</v>
      </c>
      <c r="I8" s="12" t="s">
        <v>185</v>
      </c>
      <c r="J8">
        <v>35364</v>
      </c>
      <c r="K8">
        <v>2</v>
      </c>
    </row>
    <row r="9" spans="1:11" x14ac:dyDescent="0.35">
      <c r="A9" s="10" t="s">
        <v>16</v>
      </c>
      <c r="B9" s="3" t="s">
        <v>164</v>
      </c>
      <c r="C9" s="3" t="s">
        <v>170</v>
      </c>
      <c r="D9" s="3"/>
      <c r="E9" s="3">
        <v>35364</v>
      </c>
      <c r="F9" s="17">
        <v>42057</v>
      </c>
      <c r="G9" s="21">
        <f>IF(ISBLANK(G3), G2, G3)</f>
        <v>1</v>
      </c>
      <c r="H9" s="3" t="s">
        <v>179</v>
      </c>
      <c r="I9" s="12" t="s">
        <v>188</v>
      </c>
      <c r="J9">
        <v>97881</v>
      </c>
      <c r="K9">
        <v>1</v>
      </c>
    </row>
    <row r="10" spans="1:11" x14ac:dyDescent="0.35">
      <c r="A10" s="10" t="s">
        <v>17</v>
      </c>
      <c r="B10" s="3" t="s">
        <v>160</v>
      </c>
      <c r="C10" s="3" t="s">
        <v>169</v>
      </c>
      <c r="D10" s="3" t="s">
        <v>172</v>
      </c>
      <c r="E10" s="3">
        <v>97881</v>
      </c>
      <c r="F10" s="17">
        <v>42064</v>
      </c>
      <c r="G10" s="21">
        <f>IF(ISBLANK(G4), G3, G4)</f>
        <v>2</v>
      </c>
      <c r="H10" s="3" t="s">
        <v>181</v>
      </c>
      <c r="I10" s="12" t="s">
        <v>189</v>
      </c>
      <c r="J10">
        <v>91846</v>
      </c>
      <c r="K10">
        <v>2</v>
      </c>
    </row>
    <row r="11" spans="1:11" ht="15" customHeight="1" x14ac:dyDescent="0.35">
      <c r="A11" s="10" t="s">
        <v>18</v>
      </c>
      <c r="B11" s="3" t="s">
        <v>164</v>
      </c>
      <c r="C11" s="3" t="s">
        <v>167</v>
      </c>
      <c r="D11" s="3" t="s">
        <v>175</v>
      </c>
      <c r="E11" s="3">
        <v>91846</v>
      </c>
      <c r="F11" s="17">
        <v>42071</v>
      </c>
      <c r="G11" s="21">
        <f>IF(ISBLANK(G5), G4, G5)</f>
        <v>1</v>
      </c>
      <c r="H11" s="3" t="s">
        <v>180</v>
      </c>
      <c r="I11" s="12" t="s">
        <v>190</v>
      </c>
      <c r="J11">
        <v>64247</v>
      </c>
      <c r="K11">
        <v>1</v>
      </c>
    </row>
    <row r="12" spans="1:11" x14ac:dyDescent="0.35">
      <c r="A12" s="10" t="s">
        <v>19</v>
      </c>
      <c r="B12" s="3" t="s">
        <v>163</v>
      </c>
      <c r="C12" s="3" t="s">
        <v>166</v>
      </c>
      <c r="D12" s="3" t="s">
        <v>175</v>
      </c>
      <c r="E12" s="3">
        <v>64247</v>
      </c>
      <c r="F12" s="17">
        <v>42078</v>
      </c>
      <c r="G12" s="4">
        <f t="shared" ref="G12:G19" si="0">IF(ISBLANK(G6), G5, G6)</f>
        <v>1</v>
      </c>
      <c r="H12" s="3" t="s">
        <v>181</v>
      </c>
      <c r="I12" s="12" t="s">
        <v>191</v>
      </c>
      <c r="J12">
        <v>91180</v>
      </c>
      <c r="K12">
        <v>1</v>
      </c>
    </row>
    <row r="13" spans="1:11" x14ac:dyDescent="0.35">
      <c r="A13" s="10" t="s">
        <v>20</v>
      </c>
      <c r="B13" s="3" t="s">
        <v>163</v>
      </c>
      <c r="C13" s="3" t="s">
        <v>169</v>
      </c>
      <c r="D13" s="3" t="s">
        <v>173</v>
      </c>
      <c r="E13" s="3">
        <v>91180</v>
      </c>
      <c r="F13" s="17">
        <v>42085</v>
      </c>
      <c r="G13" s="4">
        <f t="shared" si="0"/>
        <v>2</v>
      </c>
      <c r="H13" s="3" t="s">
        <v>180</v>
      </c>
      <c r="I13" s="12" t="s">
        <v>192</v>
      </c>
      <c r="J13">
        <v>96418</v>
      </c>
      <c r="K13">
        <v>2</v>
      </c>
    </row>
    <row r="14" spans="1:11" x14ac:dyDescent="0.35">
      <c r="A14" s="10" t="s">
        <v>21</v>
      </c>
      <c r="B14" s="3" t="s">
        <v>165</v>
      </c>
      <c r="C14" s="3" t="s">
        <v>168</v>
      </c>
      <c r="D14" s="3"/>
      <c r="E14" s="3">
        <v>96418</v>
      </c>
      <c r="F14" s="17">
        <v>42092</v>
      </c>
      <c r="G14" s="4">
        <f t="shared" si="0"/>
        <v>2</v>
      </c>
      <c r="H14" s="3" t="s">
        <v>180</v>
      </c>
      <c r="I14" s="23" t="s">
        <v>183</v>
      </c>
      <c r="J14">
        <v>62158</v>
      </c>
      <c r="K14">
        <v>2</v>
      </c>
    </row>
    <row r="15" spans="1:11" x14ac:dyDescent="0.35">
      <c r="A15" s="10" t="s">
        <v>22</v>
      </c>
      <c r="B15" s="3" t="s">
        <v>163</v>
      </c>
      <c r="C15" s="3"/>
      <c r="D15" s="3" t="s">
        <v>174</v>
      </c>
      <c r="E15" s="3">
        <v>62158</v>
      </c>
      <c r="F15" s="17">
        <v>42099</v>
      </c>
      <c r="G15" s="4">
        <f t="shared" si="0"/>
        <v>1</v>
      </c>
      <c r="H15" s="3"/>
      <c r="I15" s="12" t="s">
        <v>193</v>
      </c>
      <c r="J15">
        <v>59894</v>
      </c>
      <c r="K15">
        <v>1</v>
      </c>
    </row>
    <row r="16" spans="1:11" x14ac:dyDescent="0.35">
      <c r="A16" s="10" t="s">
        <v>23</v>
      </c>
      <c r="B16" s="3" t="s">
        <v>162</v>
      </c>
      <c r="C16" s="3" t="s">
        <v>167</v>
      </c>
      <c r="D16" s="3"/>
      <c r="E16" s="3">
        <v>59894</v>
      </c>
      <c r="F16" s="17">
        <v>42106</v>
      </c>
      <c r="G16" s="4">
        <f t="shared" si="0"/>
        <v>2</v>
      </c>
      <c r="H16" s="3" t="s">
        <v>180</v>
      </c>
      <c r="I16" s="12" t="s">
        <v>194</v>
      </c>
      <c r="J16">
        <v>92443</v>
      </c>
      <c r="K16">
        <v>2</v>
      </c>
    </row>
    <row r="17" spans="1:11" x14ac:dyDescent="0.35">
      <c r="A17" s="10" t="s">
        <v>24</v>
      </c>
      <c r="B17" s="3" t="s">
        <v>178</v>
      </c>
      <c r="C17" s="3" t="s">
        <v>169</v>
      </c>
      <c r="D17" s="3" t="s">
        <v>174</v>
      </c>
      <c r="E17" s="3">
        <v>92443</v>
      </c>
      <c r="F17" s="17">
        <v>42113</v>
      </c>
      <c r="G17" s="4">
        <f t="shared" si="0"/>
        <v>1</v>
      </c>
      <c r="H17" s="3" t="s">
        <v>179</v>
      </c>
      <c r="I17" s="12" t="s">
        <v>195</v>
      </c>
      <c r="J17">
        <v>90271</v>
      </c>
      <c r="K17">
        <v>1</v>
      </c>
    </row>
    <row r="18" spans="1:11" x14ac:dyDescent="0.35">
      <c r="A18" s="10" t="s">
        <v>25</v>
      </c>
      <c r="B18" s="3" t="s">
        <v>165</v>
      </c>
      <c r="C18" s="3"/>
      <c r="D18" s="3" t="s">
        <v>172</v>
      </c>
      <c r="E18" s="3">
        <v>90271</v>
      </c>
      <c r="F18" s="17">
        <v>42120</v>
      </c>
      <c r="G18" s="21">
        <f>IF(ISBLANK(G12), G11, G12)</f>
        <v>1</v>
      </c>
      <c r="H18" s="3"/>
      <c r="I18" s="12" t="s">
        <v>196</v>
      </c>
      <c r="J18">
        <v>41341</v>
      </c>
      <c r="K18">
        <v>1</v>
      </c>
    </row>
    <row r="19" spans="1:11" x14ac:dyDescent="0.35">
      <c r="A19" s="10" t="s">
        <v>26</v>
      </c>
      <c r="B19" s="3" t="s">
        <v>162</v>
      </c>
      <c r="C19" s="3" t="s">
        <v>166</v>
      </c>
      <c r="D19" s="3" t="s">
        <v>176</v>
      </c>
      <c r="E19" s="3">
        <v>41341</v>
      </c>
      <c r="F19" s="17">
        <v>42127</v>
      </c>
      <c r="G19" s="21">
        <f t="shared" si="0"/>
        <v>2</v>
      </c>
      <c r="H19" s="3" t="s">
        <v>179</v>
      </c>
      <c r="I19" s="12" t="s">
        <v>197</v>
      </c>
      <c r="J19">
        <v>73602</v>
      </c>
      <c r="K19">
        <v>2</v>
      </c>
    </row>
    <row r="20" spans="1:11" x14ac:dyDescent="0.35">
      <c r="A20" s="10" t="s">
        <v>27</v>
      </c>
      <c r="B20" s="3" t="s">
        <v>160</v>
      </c>
      <c r="C20" s="3" t="s">
        <v>166</v>
      </c>
      <c r="D20" s="3" t="s">
        <v>175</v>
      </c>
      <c r="E20" s="3">
        <v>73602</v>
      </c>
      <c r="F20" s="17">
        <v>42134</v>
      </c>
      <c r="G20" s="21">
        <f>IF(ISBLANK(G14), G13, G14)</f>
        <v>2</v>
      </c>
      <c r="H20" s="3"/>
      <c r="I20" s="12" t="s">
        <v>198</v>
      </c>
      <c r="J20">
        <v>67531</v>
      </c>
      <c r="K20">
        <v>2</v>
      </c>
    </row>
    <row r="21" spans="1:11" x14ac:dyDescent="0.35">
      <c r="A21" s="10" t="s">
        <v>28</v>
      </c>
      <c r="B21" s="3" t="s">
        <v>159</v>
      </c>
      <c r="C21" s="3"/>
      <c r="D21" s="3" t="s">
        <v>174</v>
      </c>
      <c r="E21" s="3">
        <v>67531</v>
      </c>
      <c r="F21" s="17">
        <v>42141</v>
      </c>
      <c r="G21" s="4">
        <v>5</v>
      </c>
      <c r="H21" s="3" t="s">
        <v>181</v>
      </c>
      <c r="I21" s="12" t="s">
        <v>199</v>
      </c>
      <c r="J21" s="19">
        <v>66280.929577464791</v>
      </c>
      <c r="K21">
        <v>5</v>
      </c>
    </row>
    <row r="22" spans="1:11" x14ac:dyDescent="0.35">
      <c r="A22" s="10" t="s">
        <v>29</v>
      </c>
      <c r="B22" s="3" t="s">
        <v>162</v>
      </c>
      <c r="C22" s="3" t="s">
        <v>167</v>
      </c>
      <c r="D22" s="3" t="s">
        <v>173</v>
      </c>
      <c r="E22" s="19">
        <f ca="1">AVERAGE(Table14[Salary])</f>
        <v>66280.929577464791</v>
      </c>
      <c r="F22" s="17">
        <v>42148</v>
      </c>
      <c r="G22" s="4">
        <v>2</v>
      </c>
      <c r="H22" s="3" t="s">
        <v>179</v>
      </c>
      <c r="I22" s="12" t="s">
        <v>200</v>
      </c>
      <c r="J22">
        <v>98922</v>
      </c>
      <c r="K22">
        <v>2</v>
      </c>
    </row>
    <row r="23" spans="1:11" x14ac:dyDescent="0.35">
      <c r="A23" s="10" t="s">
        <v>30</v>
      </c>
      <c r="B23" s="3" t="s">
        <v>162</v>
      </c>
      <c r="C23" s="3" t="s">
        <v>167</v>
      </c>
      <c r="D23" s="3"/>
      <c r="E23" s="3">
        <v>98922</v>
      </c>
      <c r="F23" s="17">
        <v>42155</v>
      </c>
      <c r="G23" s="4">
        <v>4</v>
      </c>
      <c r="H23" s="3"/>
      <c r="I23" s="12" t="s">
        <v>201</v>
      </c>
      <c r="J23">
        <v>38333</v>
      </c>
      <c r="K23">
        <v>4</v>
      </c>
    </row>
    <row r="24" spans="1:11" x14ac:dyDescent="0.35">
      <c r="A24" s="10" t="s">
        <v>31</v>
      </c>
      <c r="B24" s="3" t="s">
        <v>159</v>
      </c>
      <c r="C24" s="3" t="s">
        <v>166</v>
      </c>
      <c r="D24" s="3" t="s">
        <v>174</v>
      </c>
      <c r="E24" s="3">
        <v>38333</v>
      </c>
      <c r="F24" s="17">
        <v>42162</v>
      </c>
      <c r="G24" s="4">
        <v>5</v>
      </c>
      <c r="H24" s="3"/>
      <c r="I24" s="12" t="s">
        <v>202</v>
      </c>
      <c r="J24">
        <v>36515</v>
      </c>
      <c r="K24">
        <v>5</v>
      </c>
    </row>
    <row r="25" spans="1:11" x14ac:dyDescent="0.35">
      <c r="A25" s="10" t="s">
        <v>32</v>
      </c>
      <c r="B25" s="3" t="s">
        <v>160</v>
      </c>
      <c r="C25" s="3" t="s">
        <v>170</v>
      </c>
      <c r="D25" s="3" t="s">
        <v>175</v>
      </c>
      <c r="E25" s="3">
        <v>36515</v>
      </c>
      <c r="F25" s="17">
        <v>42169</v>
      </c>
      <c r="G25" s="4">
        <v>3</v>
      </c>
      <c r="H25" s="3" t="s">
        <v>180</v>
      </c>
      <c r="I25" s="12" t="s">
        <v>203</v>
      </c>
      <c r="J25">
        <v>91005</v>
      </c>
      <c r="K25">
        <v>3</v>
      </c>
    </row>
    <row r="26" spans="1:11" x14ac:dyDescent="0.35">
      <c r="A26" s="10" t="s">
        <v>33</v>
      </c>
      <c r="B26" s="3" t="s">
        <v>163</v>
      </c>
      <c r="C26" s="3" t="s">
        <v>166</v>
      </c>
      <c r="D26" s="3"/>
      <c r="E26" s="3">
        <v>91005</v>
      </c>
      <c r="F26" s="17">
        <v>42176</v>
      </c>
      <c r="G26" s="4">
        <v>1</v>
      </c>
      <c r="H26" s="3" t="s">
        <v>179</v>
      </c>
      <c r="I26" s="12" t="s">
        <v>204</v>
      </c>
      <c r="J26">
        <v>52272</v>
      </c>
      <c r="K26">
        <v>1</v>
      </c>
    </row>
    <row r="27" spans="1:11" x14ac:dyDescent="0.35">
      <c r="A27" s="10" t="s">
        <v>34</v>
      </c>
      <c r="B27" s="3" t="s">
        <v>164</v>
      </c>
      <c r="C27" s="3"/>
      <c r="D27" s="3" t="s">
        <v>171</v>
      </c>
      <c r="E27" s="3">
        <v>52272</v>
      </c>
      <c r="F27" s="17">
        <v>42183</v>
      </c>
      <c r="G27" s="4">
        <v>3</v>
      </c>
      <c r="H27" s="3"/>
      <c r="I27" s="12" t="s">
        <v>205</v>
      </c>
      <c r="J27">
        <v>76518</v>
      </c>
      <c r="K27">
        <v>3</v>
      </c>
    </row>
    <row r="28" spans="1:11" x14ac:dyDescent="0.35">
      <c r="A28" s="10" t="s">
        <v>35</v>
      </c>
      <c r="B28" s="3" t="s">
        <v>159</v>
      </c>
      <c r="C28" s="3" t="s">
        <v>168</v>
      </c>
      <c r="D28" s="3" t="s">
        <v>172</v>
      </c>
      <c r="E28" s="3">
        <v>76518</v>
      </c>
      <c r="F28" s="17">
        <v>42190</v>
      </c>
      <c r="G28" s="4">
        <v>2</v>
      </c>
      <c r="H28" s="3" t="s">
        <v>181</v>
      </c>
      <c r="I28" s="12" t="s">
        <v>206</v>
      </c>
      <c r="J28">
        <v>41448</v>
      </c>
      <c r="K28">
        <v>2</v>
      </c>
    </row>
    <row r="29" spans="1:11" x14ac:dyDescent="0.35">
      <c r="A29" s="10" t="s">
        <v>36</v>
      </c>
      <c r="B29" s="3" t="s">
        <v>160</v>
      </c>
      <c r="C29" s="3" t="s">
        <v>169</v>
      </c>
      <c r="D29" s="3" t="s">
        <v>175</v>
      </c>
      <c r="E29" s="3">
        <v>41448</v>
      </c>
      <c r="F29" s="17">
        <v>42197</v>
      </c>
      <c r="G29" s="4">
        <v>3</v>
      </c>
      <c r="H29" s="3" t="s">
        <v>179</v>
      </c>
      <c r="I29" s="12" t="s">
        <v>207</v>
      </c>
      <c r="J29">
        <v>49282</v>
      </c>
      <c r="K29">
        <v>3</v>
      </c>
    </row>
    <row r="30" spans="1:11" x14ac:dyDescent="0.35">
      <c r="A30" s="10" t="s">
        <v>37</v>
      </c>
      <c r="B30" s="3" t="s">
        <v>161</v>
      </c>
      <c r="C30" s="3" t="s">
        <v>167</v>
      </c>
      <c r="D30" s="3" t="s">
        <v>175</v>
      </c>
      <c r="E30" s="3">
        <v>49282</v>
      </c>
      <c r="F30" s="17">
        <v>42204</v>
      </c>
      <c r="G30" s="4">
        <v>2</v>
      </c>
      <c r="H30" s="3" t="s">
        <v>181</v>
      </c>
      <c r="I30" s="12" t="s">
        <v>208</v>
      </c>
      <c r="J30">
        <v>92959</v>
      </c>
      <c r="K30">
        <v>2</v>
      </c>
    </row>
    <row r="31" spans="1:11" x14ac:dyDescent="0.35">
      <c r="A31" s="10" t="s">
        <v>38</v>
      </c>
      <c r="B31" s="3" t="s">
        <v>165</v>
      </c>
      <c r="C31" s="3" t="s">
        <v>170</v>
      </c>
      <c r="D31" s="3" t="s">
        <v>175</v>
      </c>
      <c r="E31" s="3">
        <v>92959</v>
      </c>
      <c r="F31" s="17">
        <v>42211</v>
      </c>
      <c r="G31" s="4">
        <v>5</v>
      </c>
      <c r="H31" s="3"/>
      <c r="I31" s="12" t="s">
        <v>209</v>
      </c>
      <c r="J31">
        <v>92259</v>
      </c>
      <c r="K31">
        <v>5</v>
      </c>
    </row>
    <row r="32" spans="1:11" x14ac:dyDescent="0.35">
      <c r="A32" s="10" t="s">
        <v>39</v>
      </c>
      <c r="B32" s="3" t="s">
        <v>178</v>
      </c>
      <c r="C32" s="3" t="s">
        <v>170</v>
      </c>
      <c r="D32" s="3"/>
      <c r="E32" s="3">
        <v>92259</v>
      </c>
      <c r="F32" s="20">
        <v>42218</v>
      </c>
      <c r="G32" s="4">
        <v>1</v>
      </c>
      <c r="H32" s="3" t="s">
        <v>178</v>
      </c>
      <c r="I32" s="12" t="s">
        <v>210</v>
      </c>
      <c r="J32">
        <v>92299</v>
      </c>
      <c r="K32">
        <v>1</v>
      </c>
    </row>
    <row r="33" spans="1:11" x14ac:dyDescent="0.35">
      <c r="A33" s="10" t="s">
        <v>40</v>
      </c>
      <c r="B33" s="3" t="s">
        <v>159</v>
      </c>
      <c r="C33" s="3" t="s">
        <v>167</v>
      </c>
      <c r="D33" s="3" t="s">
        <v>172</v>
      </c>
      <c r="E33" s="3">
        <v>92299</v>
      </c>
      <c r="F33" s="17">
        <v>42225</v>
      </c>
      <c r="G33" s="4">
        <v>3</v>
      </c>
      <c r="H33" s="3" t="s">
        <v>180</v>
      </c>
      <c r="I33" s="12" t="s">
        <v>211</v>
      </c>
      <c r="J33">
        <v>95586</v>
      </c>
      <c r="K33">
        <v>3</v>
      </c>
    </row>
    <row r="34" spans="1:11" x14ac:dyDescent="0.35">
      <c r="A34" s="10" t="s">
        <v>41</v>
      </c>
      <c r="B34" s="3" t="s">
        <v>163</v>
      </c>
      <c r="C34" s="3" t="s">
        <v>167</v>
      </c>
      <c r="D34" s="3"/>
      <c r="E34" s="3">
        <v>95586</v>
      </c>
      <c r="F34" s="17">
        <v>42232</v>
      </c>
      <c r="G34" s="4">
        <v>3</v>
      </c>
      <c r="H34" s="3" t="s">
        <v>179</v>
      </c>
      <c r="I34" s="12" t="s">
        <v>212</v>
      </c>
      <c r="J34">
        <v>95367</v>
      </c>
      <c r="K34">
        <v>3</v>
      </c>
    </row>
    <row r="35" spans="1:11" x14ac:dyDescent="0.35">
      <c r="A35" s="10" t="s">
        <v>42</v>
      </c>
      <c r="B35" s="3" t="s">
        <v>164</v>
      </c>
      <c r="C35" s="3"/>
      <c r="D35" s="3" t="s">
        <v>173</v>
      </c>
      <c r="E35" s="3">
        <v>95367</v>
      </c>
      <c r="F35" s="17">
        <v>42239</v>
      </c>
      <c r="G35" s="21">
        <f>IF(ISBLANK(G29), G28, G29)</f>
        <v>3</v>
      </c>
      <c r="H35" s="3" t="s">
        <v>180</v>
      </c>
      <c r="I35" s="12" t="s">
        <v>213</v>
      </c>
      <c r="J35">
        <v>79549</v>
      </c>
      <c r="K35">
        <v>3</v>
      </c>
    </row>
    <row r="36" spans="1:11" x14ac:dyDescent="0.35">
      <c r="A36" s="10" t="s">
        <v>43</v>
      </c>
      <c r="B36" s="3" t="s">
        <v>161</v>
      </c>
      <c r="C36" s="3" t="s">
        <v>168</v>
      </c>
      <c r="D36" s="3" t="s">
        <v>176</v>
      </c>
      <c r="E36" s="3">
        <v>79549</v>
      </c>
      <c r="F36" s="17">
        <v>42246</v>
      </c>
      <c r="G36" s="4">
        <v>3</v>
      </c>
      <c r="H36" s="3"/>
      <c r="I36" s="12" t="s">
        <v>214</v>
      </c>
      <c r="J36">
        <v>54463</v>
      </c>
      <c r="K36">
        <v>3</v>
      </c>
    </row>
    <row r="37" spans="1:11" x14ac:dyDescent="0.35">
      <c r="A37" s="10" t="s">
        <v>44</v>
      </c>
      <c r="B37" s="3" t="s">
        <v>160</v>
      </c>
      <c r="C37" s="3"/>
      <c r="D37" s="3" t="s">
        <v>175</v>
      </c>
      <c r="E37" s="3">
        <v>54463</v>
      </c>
      <c r="F37" s="17">
        <v>42253</v>
      </c>
      <c r="G37" s="4">
        <v>4</v>
      </c>
      <c r="H37" s="3" t="s">
        <v>180</v>
      </c>
      <c r="I37" s="12" t="s">
        <v>182</v>
      </c>
      <c r="J37">
        <v>89781</v>
      </c>
      <c r="K37">
        <v>4</v>
      </c>
    </row>
    <row r="38" spans="1:11" x14ac:dyDescent="0.35">
      <c r="A38" s="10" t="s">
        <v>45</v>
      </c>
      <c r="B38" s="3" t="s">
        <v>160</v>
      </c>
      <c r="C38" s="3" t="s">
        <v>169</v>
      </c>
      <c r="D38" s="3" t="s">
        <v>173</v>
      </c>
      <c r="E38" s="3">
        <v>89781</v>
      </c>
      <c r="F38" s="17">
        <v>42260</v>
      </c>
      <c r="G38" s="21">
        <f>IF(ISBLANK(G32), G31, G32)</f>
        <v>1</v>
      </c>
      <c r="H38" s="3" t="s">
        <v>181</v>
      </c>
      <c r="I38" s="12" t="s">
        <v>215</v>
      </c>
      <c r="J38">
        <v>64796</v>
      </c>
      <c r="K38">
        <v>1</v>
      </c>
    </row>
    <row r="39" spans="1:11" x14ac:dyDescent="0.35">
      <c r="A39" s="10" t="s">
        <v>46</v>
      </c>
      <c r="B39" s="3" t="s">
        <v>160</v>
      </c>
      <c r="C39" s="3" t="s">
        <v>167</v>
      </c>
      <c r="D39" s="3"/>
      <c r="E39" s="3">
        <v>64796</v>
      </c>
      <c r="F39" s="17">
        <v>42267</v>
      </c>
      <c r="G39" s="21">
        <f>IF(ISBLANK(G33), G32, G33)</f>
        <v>3</v>
      </c>
      <c r="H39" s="3" t="s">
        <v>179</v>
      </c>
      <c r="I39" s="12" t="s">
        <v>216</v>
      </c>
      <c r="J39">
        <v>52093</v>
      </c>
      <c r="K39">
        <v>3</v>
      </c>
    </row>
    <row r="40" spans="1:11" x14ac:dyDescent="0.35">
      <c r="A40" s="10" t="s">
        <v>47</v>
      </c>
      <c r="B40" s="3" t="s">
        <v>161</v>
      </c>
      <c r="C40" s="3" t="s">
        <v>170</v>
      </c>
      <c r="D40" s="3" t="s">
        <v>175</v>
      </c>
      <c r="E40" s="3">
        <v>52093</v>
      </c>
      <c r="F40" s="17">
        <v>42274</v>
      </c>
      <c r="G40" s="4">
        <v>5</v>
      </c>
      <c r="H40" s="3"/>
      <c r="I40" s="12" t="s">
        <v>217</v>
      </c>
      <c r="J40">
        <v>48224</v>
      </c>
      <c r="K40">
        <v>5</v>
      </c>
    </row>
    <row r="41" spans="1:11" x14ac:dyDescent="0.35">
      <c r="A41" s="10" t="s">
        <v>48</v>
      </c>
      <c r="B41" s="3" t="s">
        <v>164</v>
      </c>
      <c r="C41" s="3" t="s">
        <v>167</v>
      </c>
      <c r="D41" s="3" t="s">
        <v>175</v>
      </c>
      <c r="E41" s="3">
        <v>48224</v>
      </c>
      <c r="F41" s="17">
        <v>42281</v>
      </c>
      <c r="G41" s="4">
        <v>3</v>
      </c>
      <c r="H41" s="3"/>
      <c r="I41" s="12" t="s">
        <v>218</v>
      </c>
      <c r="J41" s="19">
        <v>66280.929577464791</v>
      </c>
      <c r="K41">
        <v>3</v>
      </c>
    </row>
    <row r="42" spans="1:11" x14ac:dyDescent="0.35">
      <c r="A42" s="10" t="s">
        <v>49</v>
      </c>
      <c r="B42" s="3" t="s">
        <v>165</v>
      </c>
      <c r="C42" s="3" t="s">
        <v>166</v>
      </c>
      <c r="D42" s="3" t="s">
        <v>175</v>
      </c>
      <c r="E42" s="19">
        <f ca="1">AVERAGE(Table14[Salary])</f>
        <v>66280.929577464791</v>
      </c>
      <c r="F42" s="20">
        <v>42288</v>
      </c>
      <c r="G42" s="4">
        <v>4</v>
      </c>
      <c r="H42" s="3" t="s">
        <v>181</v>
      </c>
      <c r="I42" s="12" t="s">
        <v>219</v>
      </c>
      <c r="J42">
        <v>33956</v>
      </c>
      <c r="K42">
        <v>4</v>
      </c>
    </row>
    <row r="43" spans="1:11" x14ac:dyDescent="0.35">
      <c r="A43" s="10" t="s">
        <v>50</v>
      </c>
      <c r="B43" s="3" t="s">
        <v>160</v>
      </c>
      <c r="C43" s="3" t="s">
        <v>169</v>
      </c>
      <c r="D43" s="3" t="s">
        <v>172</v>
      </c>
      <c r="E43" s="3">
        <v>33956</v>
      </c>
      <c r="F43" s="17">
        <v>42295</v>
      </c>
      <c r="G43" s="21">
        <f>IF(ISBLANK(G37), G36, G37)</f>
        <v>4</v>
      </c>
      <c r="H43" s="3"/>
      <c r="I43" s="12" t="s">
        <v>220</v>
      </c>
      <c r="J43">
        <v>64913</v>
      </c>
      <c r="K43">
        <v>4</v>
      </c>
    </row>
    <row r="44" spans="1:11" x14ac:dyDescent="0.35">
      <c r="A44" s="10" t="s">
        <v>51</v>
      </c>
      <c r="B44" s="3" t="s">
        <v>165</v>
      </c>
      <c r="C44" s="3"/>
      <c r="D44" s="3" t="s">
        <v>176</v>
      </c>
      <c r="E44" s="3">
        <v>64913</v>
      </c>
      <c r="F44" s="17">
        <v>42302</v>
      </c>
      <c r="G44" s="4">
        <v>1</v>
      </c>
      <c r="H44" s="3" t="s">
        <v>181</v>
      </c>
      <c r="I44" s="12" t="s">
        <v>221</v>
      </c>
      <c r="J44">
        <v>35326</v>
      </c>
      <c r="K44">
        <v>1</v>
      </c>
    </row>
    <row r="45" spans="1:11" x14ac:dyDescent="0.35">
      <c r="A45" s="10" t="s">
        <v>52</v>
      </c>
      <c r="B45" s="3" t="s">
        <v>160</v>
      </c>
      <c r="C45" s="3" t="s">
        <v>170</v>
      </c>
      <c r="D45" s="3" t="s">
        <v>176</v>
      </c>
      <c r="E45" s="3">
        <v>35326</v>
      </c>
      <c r="F45" s="17">
        <v>42309</v>
      </c>
      <c r="G45" s="21">
        <f>IF(ISBLANK(G39), G38, G39)</f>
        <v>3</v>
      </c>
      <c r="H45" s="3" t="s">
        <v>181</v>
      </c>
      <c r="I45" s="12" t="s">
        <v>222</v>
      </c>
      <c r="J45">
        <v>81610</v>
      </c>
      <c r="K45">
        <v>3</v>
      </c>
    </row>
    <row r="46" spans="1:11" x14ac:dyDescent="0.35">
      <c r="A46" s="10" t="s">
        <v>53</v>
      </c>
      <c r="B46" s="3" t="s">
        <v>164</v>
      </c>
      <c r="C46" s="3" t="s">
        <v>166</v>
      </c>
      <c r="D46" s="3"/>
      <c r="E46" s="3">
        <v>81610</v>
      </c>
      <c r="F46" s="17">
        <v>42316</v>
      </c>
      <c r="G46" s="4">
        <v>1</v>
      </c>
      <c r="H46" s="3"/>
      <c r="I46" s="12" t="s">
        <v>223</v>
      </c>
      <c r="J46">
        <v>58962</v>
      </c>
      <c r="K46">
        <v>1</v>
      </c>
    </row>
    <row r="47" spans="1:11" x14ac:dyDescent="0.35">
      <c r="A47" s="10" t="s">
        <v>54</v>
      </c>
      <c r="B47" s="3" t="s">
        <v>178</v>
      </c>
      <c r="C47" s="3" t="s">
        <v>167</v>
      </c>
      <c r="D47" s="3"/>
      <c r="E47" s="3">
        <v>58962</v>
      </c>
      <c r="F47" s="17">
        <v>42323</v>
      </c>
      <c r="G47" s="4">
        <v>3</v>
      </c>
      <c r="H47" s="3" t="s">
        <v>179</v>
      </c>
      <c r="I47" s="12" t="s">
        <v>183</v>
      </c>
      <c r="J47">
        <v>92701</v>
      </c>
      <c r="K47">
        <v>3</v>
      </c>
    </row>
    <row r="48" spans="1:11" x14ac:dyDescent="0.35">
      <c r="A48" s="10" t="s">
        <v>55</v>
      </c>
      <c r="B48" s="3" t="s">
        <v>164</v>
      </c>
      <c r="C48" s="3" t="s">
        <v>169</v>
      </c>
      <c r="D48" s="3" t="s">
        <v>172</v>
      </c>
      <c r="E48" s="3">
        <v>92701</v>
      </c>
      <c r="F48" s="17">
        <v>42330</v>
      </c>
      <c r="G48" s="4">
        <v>3</v>
      </c>
      <c r="H48" s="3" t="s">
        <v>179</v>
      </c>
      <c r="I48" s="12" t="s">
        <v>224</v>
      </c>
      <c r="J48">
        <v>58245</v>
      </c>
      <c r="K48">
        <v>3</v>
      </c>
    </row>
    <row r="49" spans="1:11" x14ac:dyDescent="0.35">
      <c r="A49" s="10" t="s">
        <v>56</v>
      </c>
      <c r="B49" s="3" t="s">
        <v>164</v>
      </c>
      <c r="C49" s="3" t="s">
        <v>167</v>
      </c>
      <c r="D49" s="3" t="s">
        <v>174</v>
      </c>
      <c r="E49" s="3">
        <v>58245</v>
      </c>
      <c r="F49" s="17">
        <v>42337</v>
      </c>
      <c r="G49" s="4">
        <v>4</v>
      </c>
      <c r="H49" s="3"/>
      <c r="I49" s="12" t="s">
        <v>225</v>
      </c>
      <c r="J49">
        <v>66513</v>
      </c>
      <c r="K49">
        <v>4</v>
      </c>
    </row>
    <row r="50" spans="1:11" x14ac:dyDescent="0.35">
      <c r="A50" s="10" t="s">
        <v>57</v>
      </c>
      <c r="B50" s="3" t="s">
        <v>161</v>
      </c>
      <c r="C50" s="3" t="s">
        <v>166</v>
      </c>
      <c r="D50" s="3"/>
      <c r="E50" s="3">
        <v>66513</v>
      </c>
      <c r="F50" s="17">
        <v>42344</v>
      </c>
      <c r="G50" s="4">
        <v>2</v>
      </c>
      <c r="H50" s="3" t="s">
        <v>179</v>
      </c>
      <c r="I50" s="12" t="s">
        <v>187</v>
      </c>
      <c r="J50">
        <v>78720</v>
      </c>
      <c r="K50">
        <v>2</v>
      </c>
    </row>
    <row r="51" spans="1:11" x14ac:dyDescent="0.35">
      <c r="A51" s="10" t="s">
        <v>58</v>
      </c>
      <c r="B51" s="3" t="s">
        <v>159</v>
      </c>
      <c r="C51" s="3" t="s">
        <v>167</v>
      </c>
      <c r="D51" s="3" t="s">
        <v>172</v>
      </c>
      <c r="E51" s="3">
        <v>78720</v>
      </c>
      <c r="F51" s="17">
        <v>42351</v>
      </c>
      <c r="G51" s="4">
        <v>5</v>
      </c>
      <c r="H51" s="3" t="s">
        <v>181</v>
      </c>
      <c r="I51" s="12" t="s">
        <v>219</v>
      </c>
      <c r="J51">
        <v>30686</v>
      </c>
      <c r="K51">
        <v>5</v>
      </c>
    </row>
    <row r="52" spans="1:11" x14ac:dyDescent="0.35">
      <c r="A52" s="10" t="s">
        <v>59</v>
      </c>
      <c r="B52" s="3" t="s">
        <v>164</v>
      </c>
      <c r="C52" s="3"/>
      <c r="D52" s="3" t="s">
        <v>171</v>
      </c>
      <c r="E52" s="3">
        <v>30686</v>
      </c>
      <c r="F52" s="20">
        <v>42358</v>
      </c>
      <c r="G52" s="4">
        <v>2</v>
      </c>
      <c r="H52" s="3" t="s">
        <v>181</v>
      </c>
      <c r="I52" s="12" t="s">
        <v>226</v>
      </c>
      <c r="J52">
        <v>39423</v>
      </c>
      <c r="K52">
        <v>2</v>
      </c>
    </row>
    <row r="53" spans="1:11" x14ac:dyDescent="0.35">
      <c r="A53" s="10" t="s">
        <v>60</v>
      </c>
      <c r="B53" s="3" t="s">
        <v>163</v>
      </c>
      <c r="C53" s="3" t="s">
        <v>168</v>
      </c>
      <c r="D53" s="3" t="s">
        <v>174</v>
      </c>
      <c r="E53" s="3">
        <v>39423</v>
      </c>
      <c r="F53" s="17">
        <v>42365</v>
      </c>
      <c r="G53" s="4">
        <v>5</v>
      </c>
      <c r="H53" s="3"/>
      <c r="I53" s="12" t="s">
        <v>227</v>
      </c>
      <c r="J53">
        <v>30280</v>
      </c>
      <c r="K53">
        <v>5</v>
      </c>
    </row>
    <row r="54" spans="1:11" x14ac:dyDescent="0.35">
      <c r="A54" s="10" t="s">
        <v>61</v>
      </c>
      <c r="B54" s="3" t="s">
        <v>159</v>
      </c>
      <c r="C54" s="3" t="s">
        <v>170</v>
      </c>
      <c r="D54" s="3"/>
      <c r="E54" s="3">
        <v>30280</v>
      </c>
      <c r="F54" s="17">
        <v>42372</v>
      </c>
      <c r="G54" s="4">
        <v>1</v>
      </c>
      <c r="H54" s="3"/>
      <c r="I54" s="12" t="s">
        <v>228</v>
      </c>
      <c r="J54">
        <v>33352</v>
      </c>
      <c r="K54">
        <v>1</v>
      </c>
    </row>
    <row r="55" spans="1:11" x14ac:dyDescent="0.35">
      <c r="A55" s="10" t="s">
        <v>62</v>
      </c>
      <c r="B55" s="3" t="s">
        <v>159</v>
      </c>
      <c r="C55" s="3" t="s">
        <v>166</v>
      </c>
      <c r="D55" s="3" t="s">
        <v>175</v>
      </c>
      <c r="E55" s="3">
        <v>33352</v>
      </c>
      <c r="F55" s="17">
        <v>42379</v>
      </c>
      <c r="G55" s="4">
        <v>3</v>
      </c>
      <c r="H55" s="3" t="s">
        <v>181</v>
      </c>
      <c r="I55" s="12" t="s">
        <v>200</v>
      </c>
      <c r="J55">
        <v>75633</v>
      </c>
      <c r="K55">
        <v>3</v>
      </c>
    </row>
    <row r="56" spans="1:11" x14ac:dyDescent="0.35">
      <c r="A56" s="10" t="s">
        <v>63</v>
      </c>
      <c r="B56" s="3" t="s">
        <v>165</v>
      </c>
      <c r="C56" s="3" t="s">
        <v>170</v>
      </c>
      <c r="D56" s="3" t="s">
        <v>175</v>
      </c>
      <c r="E56" s="3">
        <v>75633</v>
      </c>
      <c r="F56" s="17">
        <v>42386</v>
      </c>
      <c r="G56" s="4">
        <v>5</v>
      </c>
      <c r="H56" s="3" t="s">
        <v>179</v>
      </c>
      <c r="I56" s="12" t="s">
        <v>229</v>
      </c>
      <c r="J56">
        <v>74815</v>
      </c>
      <c r="K56">
        <v>5</v>
      </c>
    </row>
    <row r="57" spans="1:11" x14ac:dyDescent="0.35">
      <c r="A57" s="10" t="s">
        <v>64</v>
      </c>
      <c r="B57" s="3" t="s">
        <v>164</v>
      </c>
      <c r="C57" s="3"/>
      <c r="D57" s="3" t="s">
        <v>173</v>
      </c>
      <c r="E57" s="3">
        <v>74815</v>
      </c>
      <c r="F57" s="17">
        <v>42393</v>
      </c>
      <c r="G57" s="4">
        <v>5</v>
      </c>
      <c r="H57" s="3" t="s">
        <v>181</v>
      </c>
      <c r="I57" s="12" t="s">
        <v>230</v>
      </c>
      <c r="J57">
        <v>60011</v>
      </c>
      <c r="K57">
        <v>5</v>
      </c>
    </row>
    <row r="58" spans="1:11" x14ac:dyDescent="0.35">
      <c r="A58" s="10" t="s">
        <v>65</v>
      </c>
      <c r="B58" s="3" t="s">
        <v>161</v>
      </c>
      <c r="C58" s="3" t="s">
        <v>168</v>
      </c>
      <c r="D58" s="3" t="s">
        <v>176</v>
      </c>
      <c r="E58" s="3">
        <v>60011</v>
      </c>
      <c r="F58" s="17">
        <v>42400</v>
      </c>
      <c r="G58" s="4">
        <v>1</v>
      </c>
      <c r="H58" s="3" t="s">
        <v>180</v>
      </c>
      <c r="I58" s="12" t="s">
        <v>231</v>
      </c>
      <c r="J58">
        <v>96949</v>
      </c>
      <c r="K58">
        <v>1</v>
      </c>
    </row>
    <row r="59" spans="1:11" x14ac:dyDescent="0.35">
      <c r="A59" s="10" t="s">
        <v>66</v>
      </c>
      <c r="B59" s="3" t="s">
        <v>159</v>
      </c>
      <c r="C59" s="3"/>
      <c r="D59" s="3" t="s">
        <v>174</v>
      </c>
      <c r="E59" s="3">
        <v>96949</v>
      </c>
      <c r="F59" s="17">
        <v>42407</v>
      </c>
      <c r="G59" s="4">
        <v>3</v>
      </c>
      <c r="H59" s="3"/>
      <c r="I59" s="12" t="s">
        <v>207</v>
      </c>
      <c r="J59">
        <v>84924</v>
      </c>
      <c r="K59">
        <v>3</v>
      </c>
    </row>
    <row r="60" spans="1:11" x14ac:dyDescent="0.35">
      <c r="A60" s="10" t="s">
        <v>67</v>
      </c>
      <c r="B60" s="3" t="s">
        <v>163</v>
      </c>
      <c r="C60" s="3" t="s">
        <v>170</v>
      </c>
      <c r="D60" s="3"/>
      <c r="E60" s="3">
        <v>84924</v>
      </c>
      <c r="F60" s="17">
        <v>42414</v>
      </c>
      <c r="G60" s="4">
        <v>5</v>
      </c>
      <c r="H60" s="3" t="s">
        <v>180</v>
      </c>
      <c r="I60" s="12" t="s">
        <v>232</v>
      </c>
      <c r="J60">
        <v>82033</v>
      </c>
      <c r="K60">
        <v>5</v>
      </c>
    </row>
    <row r="61" spans="1:11" x14ac:dyDescent="0.35">
      <c r="A61" s="10" t="s">
        <v>68</v>
      </c>
      <c r="B61" s="3" t="s">
        <v>163</v>
      </c>
      <c r="C61" s="3" t="s">
        <v>166</v>
      </c>
      <c r="D61" s="3" t="s">
        <v>173</v>
      </c>
      <c r="E61" s="3">
        <v>82033</v>
      </c>
      <c r="F61" s="17">
        <v>42421</v>
      </c>
      <c r="G61" s="4">
        <v>1</v>
      </c>
      <c r="H61" s="3"/>
      <c r="I61" s="12" t="s">
        <v>223</v>
      </c>
      <c r="J61" s="19">
        <v>66280.929577464791</v>
      </c>
      <c r="K61">
        <v>1</v>
      </c>
    </row>
    <row r="62" spans="1:11" x14ac:dyDescent="0.35">
      <c r="A62" s="10" t="s">
        <v>69</v>
      </c>
      <c r="B62" s="3" t="s">
        <v>178</v>
      </c>
      <c r="C62" s="3" t="s">
        <v>170</v>
      </c>
      <c r="D62" s="3" t="s">
        <v>172</v>
      </c>
      <c r="E62" s="19">
        <f ca="1">AVERAGE(Table14[Salary])</f>
        <v>66280.929577464791</v>
      </c>
      <c r="F62" s="20">
        <v>42428</v>
      </c>
      <c r="G62" s="4">
        <v>5</v>
      </c>
      <c r="H62" s="3" t="s">
        <v>178</v>
      </c>
      <c r="I62" s="12" t="s">
        <v>233</v>
      </c>
      <c r="J62">
        <v>31499</v>
      </c>
      <c r="K62">
        <v>5</v>
      </c>
    </row>
    <row r="63" spans="1:11" x14ac:dyDescent="0.35">
      <c r="A63" s="10" t="s">
        <v>70</v>
      </c>
      <c r="B63" s="3" t="s">
        <v>159</v>
      </c>
      <c r="C63" s="3"/>
      <c r="D63" s="3" t="s">
        <v>176</v>
      </c>
      <c r="E63" s="3">
        <v>31499</v>
      </c>
      <c r="F63" s="17">
        <v>42435</v>
      </c>
      <c r="G63" s="4">
        <v>2</v>
      </c>
      <c r="H63" s="3"/>
      <c r="I63" s="12" t="s">
        <v>215</v>
      </c>
      <c r="J63">
        <v>97981</v>
      </c>
      <c r="K63">
        <v>2</v>
      </c>
    </row>
    <row r="64" spans="1:11" x14ac:dyDescent="0.35">
      <c r="A64" s="10" t="s">
        <v>71</v>
      </c>
      <c r="B64" s="3" t="s">
        <v>164</v>
      </c>
      <c r="C64" s="3" t="s">
        <v>169</v>
      </c>
      <c r="D64" s="3" t="s">
        <v>175</v>
      </c>
      <c r="E64" s="3">
        <v>97981</v>
      </c>
      <c r="F64" s="17">
        <v>42442</v>
      </c>
      <c r="G64" s="4">
        <v>5</v>
      </c>
      <c r="H64" s="3" t="s">
        <v>181</v>
      </c>
      <c r="I64" s="12" t="s">
        <v>234</v>
      </c>
      <c r="J64">
        <v>36541</v>
      </c>
      <c r="K64">
        <v>5</v>
      </c>
    </row>
    <row r="65" spans="1:11" x14ac:dyDescent="0.35">
      <c r="A65" s="10" t="s">
        <v>72</v>
      </c>
      <c r="B65" s="3" t="s">
        <v>159</v>
      </c>
      <c r="C65" s="3" t="s">
        <v>167</v>
      </c>
      <c r="D65" s="3" t="s">
        <v>173</v>
      </c>
      <c r="E65" s="3">
        <v>36541</v>
      </c>
      <c r="F65" s="17">
        <v>42449</v>
      </c>
      <c r="G65" s="4">
        <v>2</v>
      </c>
      <c r="H65" s="3" t="s">
        <v>179</v>
      </c>
      <c r="I65" s="12" t="s">
        <v>235</v>
      </c>
      <c r="J65">
        <v>84737</v>
      </c>
      <c r="K65">
        <v>2</v>
      </c>
    </row>
    <row r="66" spans="1:11" x14ac:dyDescent="0.35">
      <c r="A66" s="10" t="s">
        <v>73</v>
      </c>
      <c r="B66" s="3" t="s">
        <v>161</v>
      </c>
      <c r="C66" s="3" t="s">
        <v>169</v>
      </c>
      <c r="D66" s="3" t="s">
        <v>174</v>
      </c>
      <c r="E66" s="3">
        <v>84737</v>
      </c>
      <c r="F66" s="17">
        <v>42456</v>
      </c>
      <c r="G66" s="4">
        <v>1</v>
      </c>
      <c r="H66" s="3" t="s">
        <v>180</v>
      </c>
      <c r="I66" s="12" t="s">
        <v>236</v>
      </c>
      <c r="J66">
        <v>33468</v>
      </c>
      <c r="K66">
        <v>1</v>
      </c>
    </row>
    <row r="67" spans="1:11" x14ac:dyDescent="0.35">
      <c r="A67" s="10" t="s">
        <v>74</v>
      </c>
      <c r="B67" s="3" t="s">
        <v>163</v>
      </c>
      <c r="C67" s="3" t="s">
        <v>166</v>
      </c>
      <c r="D67" s="3" t="s">
        <v>174</v>
      </c>
      <c r="E67" s="3">
        <v>33468</v>
      </c>
      <c r="F67" s="17">
        <v>42463</v>
      </c>
      <c r="G67" s="4">
        <v>4</v>
      </c>
      <c r="H67" s="3" t="s">
        <v>180</v>
      </c>
      <c r="I67" s="12" t="s">
        <v>237</v>
      </c>
      <c r="J67">
        <v>96365</v>
      </c>
      <c r="K67">
        <v>4</v>
      </c>
    </row>
    <row r="68" spans="1:11" x14ac:dyDescent="0.35">
      <c r="A68" s="10" t="s">
        <v>75</v>
      </c>
      <c r="B68" s="3" t="s">
        <v>163</v>
      </c>
      <c r="C68" s="3"/>
      <c r="D68" s="3" t="s">
        <v>176</v>
      </c>
      <c r="E68" s="3">
        <v>96365</v>
      </c>
      <c r="F68" s="17">
        <v>42470</v>
      </c>
      <c r="G68" s="4">
        <v>3</v>
      </c>
      <c r="H68" s="3" t="s">
        <v>179</v>
      </c>
      <c r="I68" s="12" t="s">
        <v>238</v>
      </c>
      <c r="J68">
        <v>61942</v>
      </c>
      <c r="K68">
        <v>3</v>
      </c>
    </row>
    <row r="69" spans="1:11" x14ac:dyDescent="0.35">
      <c r="A69" s="10" t="s">
        <v>76</v>
      </c>
      <c r="B69" s="3" t="s">
        <v>160</v>
      </c>
      <c r="C69" s="3" t="s">
        <v>168</v>
      </c>
      <c r="D69" s="3" t="s">
        <v>174</v>
      </c>
      <c r="E69" s="3">
        <v>61942</v>
      </c>
      <c r="F69" s="17">
        <v>42477</v>
      </c>
      <c r="G69" s="4">
        <v>3</v>
      </c>
      <c r="H69" s="3" t="s">
        <v>181</v>
      </c>
      <c r="I69" s="12" t="s">
        <v>239</v>
      </c>
      <c r="J69">
        <v>41467</v>
      </c>
      <c r="K69">
        <v>3</v>
      </c>
    </row>
    <row r="70" spans="1:11" x14ac:dyDescent="0.35">
      <c r="A70" s="10" t="s">
        <v>77</v>
      </c>
      <c r="B70" s="3" t="s">
        <v>163</v>
      </c>
      <c r="C70" s="3" t="s">
        <v>166</v>
      </c>
      <c r="D70" s="3" t="s">
        <v>175</v>
      </c>
      <c r="E70" s="3">
        <v>41467</v>
      </c>
      <c r="F70" s="17">
        <v>42484</v>
      </c>
      <c r="G70" s="4">
        <v>2</v>
      </c>
      <c r="H70" s="3"/>
      <c r="I70" s="12" t="s">
        <v>201</v>
      </c>
      <c r="J70">
        <v>77096</v>
      </c>
      <c r="K70">
        <v>2</v>
      </c>
    </row>
    <row r="71" spans="1:11" x14ac:dyDescent="0.35">
      <c r="A71" s="10" t="s">
        <v>78</v>
      </c>
      <c r="B71" s="3" t="s">
        <v>165</v>
      </c>
      <c r="C71" s="3" t="s">
        <v>166</v>
      </c>
      <c r="D71" s="3" t="s">
        <v>174</v>
      </c>
      <c r="E71" s="3">
        <v>77096</v>
      </c>
      <c r="F71" s="17">
        <v>42491</v>
      </c>
      <c r="G71" s="4">
        <v>1</v>
      </c>
      <c r="H71" s="3"/>
      <c r="I71" s="12" t="s">
        <v>240</v>
      </c>
      <c r="J71">
        <v>69952</v>
      </c>
      <c r="K71">
        <v>1</v>
      </c>
    </row>
    <row r="72" spans="1:11" x14ac:dyDescent="0.35">
      <c r="A72" s="10" t="s">
        <v>79</v>
      </c>
      <c r="B72" s="3" t="s">
        <v>159</v>
      </c>
      <c r="C72" s="3" t="s">
        <v>168</v>
      </c>
      <c r="D72" s="3" t="s">
        <v>176</v>
      </c>
      <c r="E72" s="3">
        <v>69952</v>
      </c>
      <c r="F72" s="17">
        <v>42498</v>
      </c>
      <c r="G72" s="4">
        <v>5</v>
      </c>
      <c r="H72" s="3" t="s">
        <v>181</v>
      </c>
      <c r="I72" s="12" t="s">
        <v>182</v>
      </c>
      <c r="J72">
        <v>85065</v>
      </c>
      <c r="K72">
        <v>5</v>
      </c>
    </row>
    <row r="73" spans="1:11" x14ac:dyDescent="0.35">
      <c r="A73" s="10" t="s">
        <v>80</v>
      </c>
      <c r="B73" s="3" t="s">
        <v>159</v>
      </c>
      <c r="C73" s="3" t="s">
        <v>170</v>
      </c>
      <c r="D73" s="3" t="s">
        <v>173</v>
      </c>
      <c r="E73" s="3">
        <v>85065</v>
      </c>
      <c r="F73" s="17">
        <v>42505</v>
      </c>
      <c r="G73" s="4">
        <v>3</v>
      </c>
      <c r="H73" s="3"/>
      <c r="I73" s="12" t="s">
        <v>241</v>
      </c>
      <c r="J73">
        <v>56512</v>
      </c>
      <c r="K73">
        <v>3</v>
      </c>
    </row>
    <row r="74" spans="1:11" x14ac:dyDescent="0.35">
      <c r="A74" s="10" t="s">
        <v>81</v>
      </c>
      <c r="B74" s="3" t="s">
        <v>165</v>
      </c>
      <c r="C74" s="3" t="s">
        <v>170</v>
      </c>
      <c r="D74" s="3" t="s">
        <v>174</v>
      </c>
      <c r="E74" s="3">
        <v>56512</v>
      </c>
      <c r="F74" s="17">
        <v>42512</v>
      </c>
      <c r="G74" s="21">
        <f>IF(ISBLANK(G68), G67, G68)</f>
        <v>3</v>
      </c>
      <c r="H74" s="3" t="s">
        <v>179</v>
      </c>
      <c r="I74" s="12" t="s">
        <v>190</v>
      </c>
      <c r="J74">
        <v>91101</v>
      </c>
      <c r="K74">
        <v>3</v>
      </c>
    </row>
    <row r="75" spans="1:11" x14ac:dyDescent="0.35">
      <c r="A75" s="10" t="s">
        <v>82</v>
      </c>
      <c r="B75" s="3" t="s">
        <v>161</v>
      </c>
      <c r="C75" s="3" t="s">
        <v>168</v>
      </c>
      <c r="D75" s="3" t="s">
        <v>174</v>
      </c>
      <c r="E75" s="3">
        <v>91101</v>
      </c>
      <c r="F75" s="17">
        <v>42519</v>
      </c>
      <c r="G75" s="4">
        <v>4</v>
      </c>
      <c r="H75" s="3" t="s">
        <v>181</v>
      </c>
      <c r="I75" s="12" t="s">
        <v>234</v>
      </c>
      <c r="J75">
        <v>41243</v>
      </c>
      <c r="K75">
        <v>4</v>
      </c>
    </row>
    <row r="76" spans="1:11" x14ac:dyDescent="0.35">
      <c r="A76" s="10" t="s">
        <v>83</v>
      </c>
      <c r="B76" s="3" t="s">
        <v>163</v>
      </c>
      <c r="C76" s="3"/>
      <c r="D76" s="3" t="s">
        <v>172</v>
      </c>
      <c r="E76" s="3">
        <v>41243</v>
      </c>
      <c r="F76" s="17">
        <v>42526</v>
      </c>
      <c r="G76" s="21">
        <f>IF(ISBLANK(G70), G69, G70)</f>
        <v>2</v>
      </c>
      <c r="H76" s="3"/>
      <c r="I76" s="12" t="s">
        <v>211</v>
      </c>
      <c r="J76">
        <v>96142</v>
      </c>
      <c r="K76">
        <v>2</v>
      </c>
    </row>
    <row r="77" spans="1:11" x14ac:dyDescent="0.35">
      <c r="A77" s="10" t="s">
        <v>84</v>
      </c>
      <c r="B77" s="3" t="s">
        <v>178</v>
      </c>
      <c r="C77" s="3" t="s">
        <v>168</v>
      </c>
      <c r="D77" s="3" t="s">
        <v>171</v>
      </c>
      <c r="E77" s="3">
        <v>96142</v>
      </c>
      <c r="F77" s="17">
        <v>42533</v>
      </c>
      <c r="G77" s="4">
        <v>1</v>
      </c>
      <c r="H77" s="3" t="s">
        <v>179</v>
      </c>
      <c r="I77" s="12" t="s">
        <v>242</v>
      </c>
      <c r="J77">
        <v>94301</v>
      </c>
      <c r="K77">
        <v>1</v>
      </c>
    </row>
    <row r="78" spans="1:11" x14ac:dyDescent="0.35">
      <c r="A78" s="10" t="s">
        <v>85</v>
      </c>
      <c r="B78" s="3" t="s">
        <v>159</v>
      </c>
      <c r="C78" s="3" t="s">
        <v>169</v>
      </c>
      <c r="D78" s="3" t="s">
        <v>174</v>
      </c>
      <c r="E78" s="3">
        <v>94301</v>
      </c>
      <c r="F78" s="17">
        <v>42540</v>
      </c>
      <c r="G78" s="4">
        <v>1</v>
      </c>
      <c r="H78" s="3" t="s">
        <v>180</v>
      </c>
      <c r="I78" s="12" t="s">
        <v>223</v>
      </c>
      <c r="J78">
        <v>69166</v>
      </c>
      <c r="K78">
        <v>1</v>
      </c>
    </row>
    <row r="79" spans="1:11" x14ac:dyDescent="0.35">
      <c r="A79" s="10" t="s">
        <v>86</v>
      </c>
      <c r="B79" s="3" t="s">
        <v>162</v>
      </c>
      <c r="C79" s="3"/>
      <c r="D79" s="3" t="s">
        <v>175</v>
      </c>
      <c r="E79" s="3">
        <v>69166</v>
      </c>
      <c r="F79" s="17">
        <v>42547</v>
      </c>
      <c r="G79" s="4">
        <v>1</v>
      </c>
      <c r="H79" s="3" t="s">
        <v>181</v>
      </c>
      <c r="I79" s="12" t="s">
        <v>243</v>
      </c>
      <c r="J79">
        <v>78245</v>
      </c>
      <c r="K79">
        <v>1</v>
      </c>
    </row>
    <row r="80" spans="1:11" x14ac:dyDescent="0.35">
      <c r="A80" s="10" t="s">
        <v>87</v>
      </c>
      <c r="B80" s="3" t="s">
        <v>163</v>
      </c>
      <c r="C80" s="3"/>
      <c r="D80" s="3" t="s">
        <v>175</v>
      </c>
      <c r="E80" s="3">
        <v>78245</v>
      </c>
      <c r="F80" s="17">
        <v>42554</v>
      </c>
      <c r="G80" s="4">
        <v>2</v>
      </c>
      <c r="H80" s="3"/>
      <c r="I80" s="12" t="s">
        <v>244</v>
      </c>
      <c r="J80">
        <v>66079</v>
      </c>
      <c r="K80">
        <v>2</v>
      </c>
    </row>
    <row r="81" spans="1:11" x14ac:dyDescent="0.35">
      <c r="A81" s="10" t="s">
        <v>88</v>
      </c>
      <c r="B81" s="3" t="s">
        <v>164</v>
      </c>
      <c r="C81" s="3" t="s">
        <v>168</v>
      </c>
      <c r="D81" s="3" t="s">
        <v>173</v>
      </c>
      <c r="E81" s="3">
        <v>66079</v>
      </c>
      <c r="F81" s="17">
        <v>42561</v>
      </c>
      <c r="G81" s="4">
        <v>2</v>
      </c>
      <c r="H81" s="3" t="s">
        <v>179</v>
      </c>
      <c r="I81" s="12" t="s">
        <v>245</v>
      </c>
      <c r="J81" s="19">
        <v>66280.929577464791</v>
      </c>
      <c r="K81">
        <v>2</v>
      </c>
    </row>
    <row r="82" spans="1:11" x14ac:dyDescent="0.35">
      <c r="A82" s="10" t="s">
        <v>89</v>
      </c>
      <c r="B82" s="3" t="s">
        <v>159</v>
      </c>
      <c r="C82" s="3" t="s">
        <v>170</v>
      </c>
      <c r="D82" s="3" t="s">
        <v>174</v>
      </c>
      <c r="E82" s="19">
        <f ca="1">AVERAGE(Table14[Salary])</f>
        <v>66280.929577464791</v>
      </c>
      <c r="F82" s="20">
        <v>42568</v>
      </c>
      <c r="G82" s="21">
        <f>IF(ISBLANK(G76), G75, G76)</f>
        <v>2</v>
      </c>
      <c r="H82" s="3"/>
      <c r="I82" s="12" t="s">
        <v>208</v>
      </c>
      <c r="J82">
        <v>95621</v>
      </c>
      <c r="K82">
        <v>2</v>
      </c>
    </row>
    <row r="83" spans="1:11" x14ac:dyDescent="0.35">
      <c r="A83" s="10" t="s">
        <v>90</v>
      </c>
      <c r="B83" s="3" t="s">
        <v>162</v>
      </c>
      <c r="C83" s="3" t="s">
        <v>168</v>
      </c>
      <c r="D83" s="3" t="s">
        <v>173</v>
      </c>
      <c r="E83" s="3">
        <v>95621</v>
      </c>
      <c r="F83" s="17">
        <v>42575</v>
      </c>
      <c r="G83" s="4">
        <v>3</v>
      </c>
      <c r="H83" s="3" t="s">
        <v>181</v>
      </c>
      <c r="I83" s="12" t="s">
        <v>246</v>
      </c>
      <c r="J83">
        <v>42262</v>
      </c>
      <c r="K83">
        <v>3</v>
      </c>
    </row>
    <row r="84" spans="1:11" x14ac:dyDescent="0.35">
      <c r="A84" s="10" t="s">
        <v>91</v>
      </c>
      <c r="B84" s="3" t="s">
        <v>159</v>
      </c>
      <c r="C84" s="3" t="s">
        <v>169</v>
      </c>
      <c r="D84" s="3" t="s">
        <v>175</v>
      </c>
      <c r="E84" s="3">
        <v>42262</v>
      </c>
      <c r="F84" s="17">
        <v>42582</v>
      </c>
      <c r="G84" s="4">
        <v>1</v>
      </c>
      <c r="H84" s="3"/>
      <c r="I84" s="12" t="s">
        <v>247</v>
      </c>
      <c r="J84">
        <v>99621</v>
      </c>
      <c r="K84">
        <v>1</v>
      </c>
    </row>
    <row r="85" spans="1:11" x14ac:dyDescent="0.35">
      <c r="A85" s="10" t="s">
        <v>92</v>
      </c>
      <c r="B85" s="3" t="s">
        <v>163</v>
      </c>
      <c r="C85" s="3" t="s">
        <v>168</v>
      </c>
      <c r="D85" s="3" t="s">
        <v>174</v>
      </c>
      <c r="E85" s="3">
        <v>99621</v>
      </c>
      <c r="F85" s="17">
        <v>42589</v>
      </c>
      <c r="G85" s="21">
        <f>IF(ISBLANK(G79), G78, G79)</f>
        <v>1</v>
      </c>
      <c r="H85" s="3" t="s">
        <v>179</v>
      </c>
      <c r="I85" s="12" t="s">
        <v>248</v>
      </c>
      <c r="J85">
        <v>44682</v>
      </c>
      <c r="K85">
        <v>1</v>
      </c>
    </row>
    <row r="86" spans="1:11" x14ac:dyDescent="0.35">
      <c r="A86" s="10" t="s">
        <v>93</v>
      </c>
      <c r="B86" s="3" t="s">
        <v>161</v>
      </c>
      <c r="C86" s="3" t="s">
        <v>170</v>
      </c>
      <c r="D86" s="3" t="s">
        <v>174</v>
      </c>
      <c r="E86" s="3">
        <v>44682</v>
      </c>
      <c r="F86" s="17">
        <v>42596</v>
      </c>
      <c r="G86" s="4">
        <v>4</v>
      </c>
      <c r="H86" s="3" t="s">
        <v>181</v>
      </c>
      <c r="I86" s="12" t="s">
        <v>220</v>
      </c>
      <c r="J86">
        <v>35163</v>
      </c>
      <c r="K86">
        <v>4</v>
      </c>
    </row>
    <row r="87" spans="1:11" x14ac:dyDescent="0.35">
      <c r="A87" s="10" t="s">
        <v>94</v>
      </c>
      <c r="B87" s="3" t="s">
        <v>164</v>
      </c>
      <c r="C87" s="3" t="s">
        <v>166</v>
      </c>
      <c r="D87" s="3"/>
      <c r="E87" s="3">
        <v>35163</v>
      </c>
      <c r="F87" s="17">
        <v>42603</v>
      </c>
      <c r="G87" s="4">
        <v>5</v>
      </c>
      <c r="H87" s="3" t="s">
        <v>179</v>
      </c>
      <c r="I87" s="12" t="s">
        <v>249</v>
      </c>
      <c r="J87">
        <v>33483</v>
      </c>
      <c r="K87">
        <v>5</v>
      </c>
    </row>
    <row r="88" spans="1:11" x14ac:dyDescent="0.35">
      <c r="A88" s="10" t="s">
        <v>95</v>
      </c>
      <c r="B88" s="3" t="s">
        <v>164</v>
      </c>
      <c r="C88" s="3" t="s">
        <v>169</v>
      </c>
      <c r="D88" s="3" t="s">
        <v>174</v>
      </c>
      <c r="E88" s="3">
        <v>33483</v>
      </c>
      <c r="F88" s="17">
        <v>42610</v>
      </c>
      <c r="G88" s="4">
        <v>4</v>
      </c>
      <c r="H88" s="3" t="s">
        <v>180</v>
      </c>
      <c r="I88" s="12" t="s">
        <v>250</v>
      </c>
      <c r="J88">
        <v>55303</v>
      </c>
      <c r="K88">
        <v>4</v>
      </c>
    </row>
    <row r="89" spans="1:11" x14ac:dyDescent="0.35">
      <c r="A89" s="10" t="s">
        <v>96</v>
      </c>
      <c r="B89" s="3" t="s">
        <v>163</v>
      </c>
      <c r="C89" s="3" t="s">
        <v>167</v>
      </c>
      <c r="D89" s="3" t="s">
        <v>172</v>
      </c>
      <c r="E89" s="3">
        <v>55303</v>
      </c>
      <c r="F89" s="17">
        <v>42617</v>
      </c>
      <c r="G89" s="4">
        <v>4</v>
      </c>
      <c r="H89" s="3" t="s">
        <v>180</v>
      </c>
      <c r="I89" s="12" t="s">
        <v>203</v>
      </c>
      <c r="J89">
        <v>63434</v>
      </c>
      <c r="K89">
        <v>4</v>
      </c>
    </row>
    <row r="90" spans="1:11" x14ac:dyDescent="0.35">
      <c r="A90" s="10" t="s">
        <v>97</v>
      </c>
      <c r="B90" s="3" t="s">
        <v>164</v>
      </c>
      <c r="C90" s="3" t="s">
        <v>169</v>
      </c>
      <c r="D90" s="3"/>
      <c r="E90" s="3">
        <v>63434</v>
      </c>
      <c r="F90" s="17">
        <v>42624</v>
      </c>
      <c r="G90" s="4">
        <v>3</v>
      </c>
      <c r="H90" s="3"/>
      <c r="I90" s="12" t="s">
        <v>251</v>
      </c>
      <c r="J90">
        <v>38830</v>
      </c>
      <c r="K90">
        <v>3</v>
      </c>
    </row>
    <row r="91" spans="1:11" x14ac:dyDescent="0.35">
      <c r="A91" s="10" t="s">
        <v>98</v>
      </c>
      <c r="B91" s="3" t="s">
        <v>162</v>
      </c>
      <c r="C91" s="3"/>
      <c r="D91" s="3" t="s">
        <v>176</v>
      </c>
      <c r="E91" s="3">
        <v>38830</v>
      </c>
      <c r="F91" s="17">
        <v>42631</v>
      </c>
      <c r="G91" s="4">
        <v>3</v>
      </c>
      <c r="H91" s="3" t="s">
        <v>179</v>
      </c>
      <c r="I91" s="12" t="s">
        <v>203</v>
      </c>
      <c r="J91">
        <v>50741</v>
      </c>
      <c r="K91">
        <v>3</v>
      </c>
    </row>
    <row r="92" spans="1:11" x14ac:dyDescent="0.35">
      <c r="A92" s="10" t="s">
        <v>99</v>
      </c>
      <c r="B92" s="3" t="s">
        <v>178</v>
      </c>
      <c r="C92" s="3" t="s">
        <v>170</v>
      </c>
      <c r="D92" s="3" t="s">
        <v>175</v>
      </c>
      <c r="E92" s="3">
        <v>50741</v>
      </c>
      <c r="F92" s="17">
        <v>42638</v>
      </c>
      <c r="G92" s="4">
        <v>3</v>
      </c>
      <c r="H92" s="3" t="s">
        <v>178</v>
      </c>
      <c r="I92" s="12" t="s">
        <v>240</v>
      </c>
      <c r="J92">
        <v>69420</v>
      </c>
      <c r="K92">
        <v>3</v>
      </c>
    </row>
    <row r="93" spans="1:11" x14ac:dyDescent="0.35">
      <c r="A93" s="10" t="s">
        <v>100</v>
      </c>
      <c r="B93" s="3" t="s">
        <v>160</v>
      </c>
      <c r="C93" s="3" t="s">
        <v>167</v>
      </c>
      <c r="D93" s="3" t="s">
        <v>176</v>
      </c>
      <c r="E93" s="3">
        <v>69420</v>
      </c>
      <c r="F93" s="17">
        <v>42645</v>
      </c>
      <c r="G93" s="4">
        <v>1</v>
      </c>
      <c r="H93" s="3" t="s">
        <v>180</v>
      </c>
      <c r="I93" s="12" t="s">
        <v>225</v>
      </c>
      <c r="J93">
        <v>80588</v>
      </c>
      <c r="K93">
        <v>1</v>
      </c>
    </row>
    <row r="94" spans="1:11" x14ac:dyDescent="0.35">
      <c r="A94" s="10" t="s">
        <v>101</v>
      </c>
      <c r="B94" s="3" t="s">
        <v>162</v>
      </c>
      <c r="C94" s="3" t="s">
        <v>169</v>
      </c>
      <c r="D94" s="3"/>
      <c r="E94" s="3">
        <v>80588</v>
      </c>
      <c r="F94" s="17">
        <v>42652</v>
      </c>
      <c r="G94" s="4">
        <v>5</v>
      </c>
      <c r="H94" s="3" t="s">
        <v>180</v>
      </c>
      <c r="I94" s="12" t="s">
        <v>216</v>
      </c>
      <c r="J94">
        <v>76238</v>
      </c>
      <c r="K94">
        <v>5</v>
      </c>
    </row>
    <row r="95" spans="1:11" x14ac:dyDescent="0.35">
      <c r="A95" s="10" t="s">
        <v>102</v>
      </c>
      <c r="B95" s="3" t="s">
        <v>160</v>
      </c>
      <c r="C95" s="3"/>
      <c r="D95" s="3" t="s">
        <v>173</v>
      </c>
      <c r="E95" s="3">
        <v>76238</v>
      </c>
      <c r="F95" s="17">
        <v>42659</v>
      </c>
      <c r="G95" s="4">
        <v>4</v>
      </c>
      <c r="H95" s="3" t="s">
        <v>180</v>
      </c>
      <c r="I95" s="12" t="s">
        <v>252</v>
      </c>
      <c r="J95">
        <v>33264</v>
      </c>
      <c r="K95">
        <v>4</v>
      </c>
    </row>
    <row r="96" spans="1:11" x14ac:dyDescent="0.35">
      <c r="A96" s="10" t="s">
        <v>103</v>
      </c>
      <c r="B96" s="3" t="s">
        <v>165</v>
      </c>
      <c r="C96" s="3" t="s">
        <v>169</v>
      </c>
      <c r="D96" s="3" t="s">
        <v>174</v>
      </c>
      <c r="E96" s="3">
        <v>33264</v>
      </c>
      <c r="F96" s="17">
        <v>42666</v>
      </c>
      <c r="G96" s="21">
        <f>IF(ISBLANK(G90), G89, G90)</f>
        <v>3</v>
      </c>
      <c r="H96" s="3" t="s">
        <v>181</v>
      </c>
      <c r="I96" s="12" t="s">
        <v>253</v>
      </c>
      <c r="J96">
        <v>96101</v>
      </c>
      <c r="K96">
        <v>3</v>
      </c>
    </row>
    <row r="97" spans="1:11" x14ac:dyDescent="0.35">
      <c r="A97" s="10" t="s">
        <v>104</v>
      </c>
      <c r="B97" s="3" t="s">
        <v>160</v>
      </c>
      <c r="C97" s="3" t="s">
        <v>166</v>
      </c>
      <c r="D97" s="3" t="s">
        <v>176</v>
      </c>
      <c r="E97" s="3">
        <v>96101</v>
      </c>
      <c r="F97" s="17">
        <v>42673</v>
      </c>
      <c r="G97" s="21">
        <f>IF(ISBLANK(G91), G90, G91)</f>
        <v>3</v>
      </c>
      <c r="H97" s="3" t="s">
        <v>179</v>
      </c>
      <c r="I97" s="12" t="s">
        <v>254</v>
      </c>
      <c r="J97">
        <v>72939</v>
      </c>
      <c r="K97">
        <v>3</v>
      </c>
    </row>
    <row r="98" spans="1:11" x14ac:dyDescent="0.35">
      <c r="A98" s="10" t="s">
        <v>105</v>
      </c>
      <c r="B98" s="3" t="s">
        <v>162</v>
      </c>
      <c r="C98" s="3" t="s">
        <v>166</v>
      </c>
      <c r="D98" s="3" t="s">
        <v>173</v>
      </c>
      <c r="E98" s="3">
        <v>72939</v>
      </c>
      <c r="F98" s="17">
        <v>42680</v>
      </c>
      <c r="G98" s="4">
        <v>3</v>
      </c>
      <c r="H98" s="3"/>
      <c r="I98" s="12" t="s">
        <v>255</v>
      </c>
      <c r="J98">
        <v>89333</v>
      </c>
      <c r="K98">
        <v>3</v>
      </c>
    </row>
    <row r="99" spans="1:11" x14ac:dyDescent="0.35">
      <c r="A99" s="10" t="s">
        <v>106</v>
      </c>
      <c r="B99" s="3" t="s">
        <v>163</v>
      </c>
      <c r="C99" s="3" t="s">
        <v>167</v>
      </c>
      <c r="D99" s="3" t="s">
        <v>172</v>
      </c>
      <c r="E99" s="3">
        <v>89333</v>
      </c>
      <c r="F99" s="17">
        <v>42687</v>
      </c>
      <c r="G99" s="4">
        <v>1</v>
      </c>
      <c r="H99" s="3" t="s">
        <v>180</v>
      </c>
      <c r="I99" s="12" t="s">
        <v>256</v>
      </c>
      <c r="J99">
        <v>70470</v>
      </c>
      <c r="K99">
        <v>1</v>
      </c>
    </row>
    <row r="100" spans="1:11" x14ac:dyDescent="0.35">
      <c r="A100" s="10" t="s">
        <v>107</v>
      </c>
      <c r="B100" s="3" t="s">
        <v>165</v>
      </c>
      <c r="C100" s="3" t="s">
        <v>169</v>
      </c>
      <c r="D100" s="3" t="s">
        <v>176</v>
      </c>
      <c r="E100" s="3">
        <v>70470</v>
      </c>
      <c r="F100" s="17">
        <v>42694</v>
      </c>
      <c r="G100" s="21">
        <f>IF(ISBLANK(G94), G93, G94)</f>
        <v>5</v>
      </c>
      <c r="H100" s="3" t="s">
        <v>180</v>
      </c>
      <c r="I100" s="12" t="s">
        <v>257</v>
      </c>
      <c r="J100">
        <v>70096</v>
      </c>
      <c r="K100">
        <v>5</v>
      </c>
    </row>
    <row r="101" spans="1:11" x14ac:dyDescent="0.35">
      <c r="A101" s="10" t="s">
        <v>108</v>
      </c>
      <c r="B101" s="3" t="s">
        <v>159</v>
      </c>
      <c r="C101" s="3" t="s">
        <v>170</v>
      </c>
      <c r="D101" s="3" t="s">
        <v>173</v>
      </c>
      <c r="E101" s="3">
        <v>70096</v>
      </c>
      <c r="F101" s="17">
        <v>42701</v>
      </c>
      <c r="G101" s="4">
        <v>4</v>
      </c>
      <c r="H101" s="3" t="s">
        <v>180</v>
      </c>
      <c r="I101" s="12" t="s">
        <v>258</v>
      </c>
      <c r="J101" s="19">
        <v>66280.929577464791</v>
      </c>
      <c r="K101">
        <v>4</v>
      </c>
    </row>
    <row r="102" spans="1:11" x14ac:dyDescent="0.35">
      <c r="A102" s="10" t="s">
        <v>109</v>
      </c>
      <c r="B102" s="3" t="s">
        <v>165</v>
      </c>
      <c r="C102" s="3" t="s">
        <v>170</v>
      </c>
      <c r="D102" s="3" t="s">
        <v>171</v>
      </c>
      <c r="E102" s="19">
        <f ca="1">AVERAGE(Table14[Salary])</f>
        <v>66280.929577464791</v>
      </c>
      <c r="F102" s="17">
        <v>42708</v>
      </c>
      <c r="G102" s="4">
        <v>2</v>
      </c>
      <c r="H102" s="3" t="s">
        <v>179</v>
      </c>
      <c r="I102" s="12" t="s">
        <v>259</v>
      </c>
      <c r="J102">
        <v>66503</v>
      </c>
      <c r="K102">
        <v>2</v>
      </c>
    </row>
    <row r="103" spans="1:11" x14ac:dyDescent="0.35">
      <c r="A103" s="10" t="s">
        <v>110</v>
      </c>
      <c r="B103" s="3" t="s">
        <v>165</v>
      </c>
      <c r="C103" s="3" t="s">
        <v>169</v>
      </c>
      <c r="D103" s="3" t="s">
        <v>172</v>
      </c>
      <c r="E103" s="3">
        <v>66503</v>
      </c>
      <c r="F103" s="17">
        <v>42715</v>
      </c>
      <c r="G103" s="21">
        <f>IF(ISBLANK(G97), G96, G97)</f>
        <v>3</v>
      </c>
      <c r="H103" s="3" t="s">
        <v>180</v>
      </c>
      <c r="I103" s="12" t="s">
        <v>200</v>
      </c>
      <c r="J103">
        <v>42096</v>
      </c>
      <c r="K103">
        <v>3</v>
      </c>
    </row>
    <row r="104" spans="1:11" x14ac:dyDescent="0.35">
      <c r="A104" s="10" t="s">
        <v>111</v>
      </c>
      <c r="B104" s="3" t="s">
        <v>160</v>
      </c>
      <c r="C104" s="3" t="s">
        <v>167</v>
      </c>
      <c r="D104" s="3" t="s">
        <v>172</v>
      </c>
      <c r="E104" s="3">
        <v>42096</v>
      </c>
      <c r="F104" s="17">
        <v>42722</v>
      </c>
      <c r="G104" s="21">
        <f>IF(ISBLANK(G98), G97, G98)</f>
        <v>3</v>
      </c>
      <c r="H104" s="3" t="s">
        <v>181</v>
      </c>
      <c r="I104" s="12" t="s">
        <v>260</v>
      </c>
      <c r="J104">
        <v>79145</v>
      </c>
      <c r="K104">
        <v>3</v>
      </c>
    </row>
    <row r="105" spans="1:11" x14ac:dyDescent="0.35">
      <c r="A105" s="10" t="s">
        <v>112</v>
      </c>
      <c r="B105" s="3" t="s">
        <v>160</v>
      </c>
      <c r="C105" s="3" t="s">
        <v>170</v>
      </c>
      <c r="D105" s="3"/>
      <c r="E105" s="3">
        <v>79145</v>
      </c>
      <c r="F105" s="17">
        <v>42729</v>
      </c>
      <c r="G105" s="4">
        <v>5</v>
      </c>
      <c r="H105" s="3" t="s">
        <v>179</v>
      </c>
      <c r="I105" s="12" t="s">
        <v>223</v>
      </c>
      <c r="J105">
        <v>61556</v>
      </c>
      <c r="K105">
        <v>5</v>
      </c>
    </row>
    <row r="106" spans="1:11" x14ac:dyDescent="0.35">
      <c r="A106" s="10" t="s">
        <v>113</v>
      </c>
      <c r="B106" s="3" t="s">
        <v>162</v>
      </c>
      <c r="C106" s="3"/>
      <c r="D106" s="3" t="s">
        <v>176</v>
      </c>
      <c r="E106" s="3">
        <v>61556</v>
      </c>
      <c r="F106" s="17">
        <v>42736</v>
      </c>
      <c r="G106" s="4">
        <v>1</v>
      </c>
      <c r="H106" s="3"/>
      <c r="I106" s="12" t="s">
        <v>259</v>
      </c>
      <c r="J106">
        <v>87963</v>
      </c>
      <c r="K106">
        <v>1</v>
      </c>
    </row>
    <row r="107" spans="1:11" x14ac:dyDescent="0.35">
      <c r="A107" s="10" t="s">
        <v>114</v>
      </c>
      <c r="B107" s="3" t="s">
        <v>178</v>
      </c>
      <c r="C107" s="3" t="s">
        <v>167</v>
      </c>
      <c r="D107" s="3" t="s">
        <v>175</v>
      </c>
      <c r="E107" s="3">
        <v>87963</v>
      </c>
      <c r="F107" s="17">
        <v>42743</v>
      </c>
      <c r="G107" s="4">
        <v>3</v>
      </c>
      <c r="H107" s="3" t="s">
        <v>179</v>
      </c>
      <c r="I107" s="12" t="s">
        <v>182</v>
      </c>
      <c r="J107">
        <v>48325</v>
      </c>
      <c r="K107">
        <v>3</v>
      </c>
    </row>
    <row r="108" spans="1:11" x14ac:dyDescent="0.35">
      <c r="A108" s="10" t="s">
        <v>115</v>
      </c>
      <c r="B108" s="3" t="s">
        <v>159</v>
      </c>
      <c r="C108" s="3" t="s">
        <v>169</v>
      </c>
      <c r="D108" s="3"/>
      <c r="E108" s="3">
        <v>48325</v>
      </c>
      <c r="F108" s="17">
        <v>42750</v>
      </c>
      <c r="G108" s="21">
        <f>IF(ISBLANK(G102), G101, G102)</f>
        <v>2</v>
      </c>
      <c r="H108" s="3" t="s">
        <v>180</v>
      </c>
      <c r="I108" s="12" t="s">
        <v>261</v>
      </c>
      <c r="J108">
        <v>86412</v>
      </c>
      <c r="K108">
        <v>2</v>
      </c>
    </row>
    <row r="109" spans="1:11" x14ac:dyDescent="0.35">
      <c r="A109" s="10" t="s">
        <v>116</v>
      </c>
      <c r="B109" s="3" t="s">
        <v>163</v>
      </c>
      <c r="C109" s="3" t="s">
        <v>170</v>
      </c>
      <c r="D109" s="3" t="s">
        <v>176</v>
      </c>
      <c r="E109" s="3">
        <v>86412</v>
      </c>
      <c r="F109" s="17">
        <v>42757</v>
      </c>
      <c r="G109" s="4">
        <v>2</v>
      </c>
      <c r="H109" s="3" t="s">
        <v>181</v>
      </c>
      <c r="I109" s="12" t="s">
        <v>202</v>
      </c>
      <c r="J109">
        <v>66761</v>
      </c>
      <c r="K109">
        <v>2</v>
      </c>
    </row>
    <row r="110" spans="1:11" x14ac:dyDescent="0.35">
      <c r="A110" s="10" t="s">
        <v>117</v>
      </c>
      <c r="B110" s="3" t="s">
        <v>163</v>
      </c>
      <c r="C110" s="3" t="s">
        <v>167</v>
      </c>
      <c r="D110" s="3"/>
      <c r="E110" s="3">
        <v>66761</v>
      </c>
      <c r="F110" s="17">
        <v>42764</v>
      </c>
      <c r="G110" s="4">
        <v>1</v>
      </c>
      <c r="H110" s="3"/>
      <c r="I110" s="12" t="s">
        <v>262</v>
      </c>
      <c r="J110">
        <v>88850</v>
      </c>
      <c r="K110">
        <v>1</v>
      </c>
    </row>
    <row r="111" spans="1:11" x14ac:dyDescent="0.35">
      <c r="A111" s="10" t="s">
        <v>118</v>
      </c>
      <c r="B111" s="3" t="s">
        <v>162</v>
      </c>
      <c r="C111" s="3"/>
      <c r="D111" s="3" t="s">
        <v>174</v>
      </c>
      <c r="E111" s="3">
        <v>88850</v>
      </c>
      <c r="F111" s="17">
        <v>42771</v>
      </c>
      <c r="G111" s="4">
        <v>1</v>
      </c>
      <c r="H111" s="3" t="s">
        <v>181</v>
      </c>
      <c r="I111" s="12" t="s">
        <v>263</v>
      </c>
      <c r="J111">
        <v>31293</v>
      </c>
      <c r="K111">
        <v>1</v>
      </c>
    </row>
    <row r="112" spans="1:11" x14ac:dyDescent="0.35">
      <c r="A112" s="10" t="s">
        <v>119</v>
      </c>
      <c r="B112" s="3" t="s">
        <v>164</v>
      </c>
      <c r="C112" s="3" t="s">
        <v>168</v>
      </c>
      <c r="D112" s="3" t="s">
        <v>174</v>
      </c>
      <c r="E112" s="3">
        <v>31293</v>
      </c>
      <c r="F112" s="20">
        <v>42778</v>
      </c>
      <c r="G112" s="4">
        <v>2</v>
      </c>
      <c r="H112" s="3" t="s">
        <v>181</v>
      </c>
      <c r="I112" s="12" t="s">
        <v>264</v>
      </c>
      <c r="J112">
        <v>34306</v>
      </c>
      <c r="K112">
        <v>2</v>
      </c>
    </row>
    <row r="113" spans="1:11" x14ac:dyDescent="0.35">
      <c r="A113" s="10" t="s">
        <v>120</v>
      </c>
      <c r="B113" s="3" t="s">
        <v>164</v>
      </c>
      <c r="C113" s="3" t="s">
        <v>169</v>
      </c>
      <c r="D113" s="3" t="s">
        <v>173</v>
      </c>
      <c r="E113" s="3">
        <v>34306</v>
      </c>
      <c r="F113" s="17">
        <v>42785</v>
      </c>
      <c r="G113" s="4">
        <v>5</v>
      </c>
      <c r="H113" s="3" t="s">
        <v>181</v>
      </c>
      <c r="I113" s="12" t="s">
        <v>239</v>
      </c>
      <c r="J113">
        <v>78330</v>
      </c>
      <c r="K113">
        <v>5</v>
      </c>
    </row>
    <row r="114" spans="1:11" x14ac:dyDescent="0.35">
      <c r="A114" s="10" t="s">
        <v>121</v>
      </c>
      <c r="B114" s="3" t="s">
        <v>159</v>
      </c>
      <c r="C114" s="3" t="s">
        <v>166</v>
      </c>
      <c r="D114" s="3" t="s">
        <v>174</v>
      </c>
      <c r="E114" s="3">
        <v>78330</v>
      </c>
      <c r="F114" s="17">
        <v>42792</v>
      </c>
      <c r="G114" s="21">
        <f>IF(ISBLANK(G108), G107, G108)</f>
        <v>2</v>
      </c>
      <c r="H114" s="3" t="s">
        <v>179</v>
      </c>
      <c r="I114" s="12" t="s">
        <v>258</v>
      </c>
      <c r="J114">
        <v>47653</v>
      </c>
      <c r="K114">
        <v>2</v>
      </c>
    </row>
    <row r="115" spans="1:11" x14ac:dyDescent="0.35">
      <c r="A115" s="10" t="s">
        <v>122</v>
      </c>
      <c r="B115" s="3" t="s">
        <v>160</v>
      </c>
      <c r="C115" s="3" t="s">
        <v>169</v>
      </c>
      <c r="D115" s="3" t="s">
        <v>173</v>
      </c>
      <c r="E115" s="3">
        <v>47653</v>
      </c>
      <c r="F115" s="17">
        <v>42799</v>
      </c>
      <c r="G115" s="4">
        <v>1</v>
      </c>
      <c r="H115" s="3" t="s">
        <v>180</v>
      </c>
      <c r="I115" s="12" t="s">
        <v>265</v>
      </c>
      <c r="J115">
        <v>44627</v>
      </c>
      <c r="K115">
        <v>1</v>
      </c>
    </row>
    <row r="116" spans="1:11" x14ac:dyDescent="0.35">
      <c r="A116" s="10" t="s">
        <v>123</v>
      </c>
      <c r="B116" s="3" t="s">
        <v>159</v>
      </c>
      <c r="C116" s="3" t="s">
        <v>170</v>
      </c>
      <c r="D116" s="3" t="s">
        <v>175</v>
      </c>
      <c r="E116" s="3">
        <v>44627</v>
      </c>
      <c r="F116" s="17">
        <v>42806</v>
      </c>
      <c r="G116" s="4">
        <v>4</v>
      </c>
      <c r="H116" s="3"/>
      <c r="I116" s="12" t="s">
        <v>235</v>
      </c>
      <c r="J116">
        <v>92343</v>
      </c>
      <c r="K116">
        <v>4</v>
      </c>
    </row>
    <row r="117" spans="1:11" x14ac:dyDescent="0.35">
      <c r="A117" s="10" t="s">
        <v>124</v>
      </c>
      <c r="B117" s="3" t="s">
        <v>165</v>
      </c>
      <c r="C117" s="3" t="s">
        <v>167</v>
      </c>
      <c r="D117" s="3" t="s">
        <v>172</v>
      </c>
      <c r="E117" s="3">
        <v>92343</v>
      </c>
      <c r="F117" s="17">
        <v>42813</v>
      </c>
      <c r="G117" s="4">
        <v>4</v>
      </c>
      <c r="H117" s="3" t="s">
        <v>181</v>
      </c>
      <c r="I117" s="12" t="s">
        <v>203</v>
      </c>
      <c r="J117">
        <v>38837</v>
      </c>
      <c r="K117">
        <v>4</v>
      </c>
    </row>
    <row r="118" spans="1:11" x14ac:dyDescent="0.35">
      <c r="A118" s="10" t="s">
        <v>125</v>
      </c>
      <c r="B118" s="3" t="s">
        <v>165</v>
      </c>
      <c r="C118" s="3" t="s">
        <v>170</v>
      </c>
      <c r="D118" s="3" t="s">
        <v>176</v>
      </c>
      <c r="E118" s="3">
        <v>38837</v>
      </c>
      <c r="F118" s="17">
        <v>42820</v>
      </c>
      <c r="G118" s="4">
        <v>5</v>
      </c>
      <c r="H118" s="3" t="s">
        <v>181</v>
      </c>
      <c r="I118" s="12" t="s">
        <v>239</v>
      </c>
      <c r="J118">
        <v>73483</v>
      </c>
      <c r="K118">
        <v>5</v>
      </c>
    </row>
    <row r="119" spans="1:11" x14ac:dyDescent="0.35">
      <c r="A119" s="10" t="s">
        <v>126</v>
      </c>
      <c r="B119" s="3" t="s">
        <v>165</v>
      </c>
      <c r="C119" s="3" t="s">
        <v>170</v>
      </c>
      <c r="D119" s="3"/>
      <c r="E119" s="3">
        <v>73483</v>
      </c>
      <c r="F119" s="17">
        <v>42827</v>
      </c>
      <c r="G119" s="4">
        <v>1</v>
      </c>
      <c r="H119" s="3"/>
      <c r="I119" s="12" t="s">
        <v>266</v>
      </c>
      <c r="J119">
        <v>95032</v>
      </c>
      <c r="K119">
        <v>1</v>
      </c>
    </row>
    <row r="120" spans="1:11" x14ac:dyDescent="0.35">
      <c r="A120" s="10" t="s">
        <v>127</v>
      </c>
      <c r="B120" s="3" t="s">
        <v>164</v>
      </c>
      <c r="C120" s="3" t="s">
        <v>168</v>
      </c>
      <c r="D120" s="3" t="s">
        <v>174</v>
      </c>
      <c r="E120" s="3">
        <v>95032</v>
      </c>
      <c r="F120" s="17">
        <v>42834</v>
      </c>
      <c r="G120" s="4">
        <v>3</v>
      </c>
      <c r="H120" s="3"/>
      <c r="I120" s="12" t="s">
        <v>267</v>
      </c>
      <c r="J120">
        <v>44358</v>
      </c>
      <c r="K120">
        <v>3</v>
      </c>
    </row>
    <row r="121" spans="1:11" x14ac:dyDescent="0.35">
      <c r="A121" s="10" t="s">
        <v>128</v>
      </c>
      <c r="B121" s="3" t="s">
        <v>159</v>
      </c>
      <c r="C121" s="3" t="s">
        <v>168</v>
      </c>
      <c r="D121" s="3" t="s">
        <v>176</v>
      </c>
      <c r="E121" s="3">
        <v>44358</v>
      </c>
      <c r="F121" s="17">
        <v>42841</v>
      </c>
      <c r="G121" s="21">
        <f>IF(ISBLANK(G115), G114, G115)</f>
        <v>1</v>
      </c>
      <c r="H121" s="3" t="s">
        <v>181</v>
      </c>
      <c r="I121" s="12" t="s">
        <v>200</v>
      </c>
      <c r="J121">
        <v>66281</v>
      </c>
      <c r="K121">
        <v>1</v>
      </c>
    </row>
    <row r="122" spans="1:11" x14ac:dyDescent="0.35">
      <c r="A122" s="10" t="s">
        <v>129</v>
      </c>
      <c r="B122" s="3" t="s">
        <v>178</v>
      </c>
      <c r="C122" s="3" t="s">
        <v>169</v>
      </c>
      <c r="D122" s="3" t="s">
        <v>173</v>
      </c>
      <c r="E122" s="3">
        <v>66281</v>
      </c>
      <c r="F122" s="20">
        <v>42848</v>
      </c>
      <c r="G122" s="4">
        <v>5</v>
      </c>
      <c r="H122" s="3" t="s">
        <v>178</v>
      </c>
      <c r="I122" s="12" t="s">
        <v>268</v>
      </c>
      <c r="J122">
        <v>45676</v>
      </c>
      <c r="K122">
        <v>5</v>
      </c>
    </row>
    <row r="123" spans="1:11" x14ac:dyDescent="0.35">
      <c r="A123" s="10" t="s">
        <v>130</v>
      </c>
      <c r="B123" s="3" t="s">
        <v>164</v>
      </c>
      <c r="C123" s="3" t="s">
        <v>168</v>
      </c>
      <c r="D123" s="3" t="s">
        <v>173</v>
      </c>
      <c r="E123" s="3">
        <v>45676</v>
      </c>
      <c r="F123" s="17">
        <v>42855</v>
      </c>
      <c r="G123" s="4">
        <v>2</v>
      </c>
      <c r="H123" s="3"/>
      <c r="I123" s="12" t="s">
        <v>269</v>
      </c>
      <c r="J123">
        <v>52036</v>
      </c>
      <c r="K123">
        <v>2</v>
      </c>
    </row>
    <row r="124" spans="1:11" x14ac:dyDescent="0.35">
      <c r="A124" s="10" t="s">
        <v>131</v>
      </c>
      <c r="B124" s="3" t="s">
        <v>165</v>
      </c>
      <c r="C124" s="3" t="s">
        <v>168</v>
      </c>
      <c r="D124" s="3" t="s">
        <v>172</v>
      </c>
      <c r="E124" s="3">
        <v>52036</v>
      </c>
      <c r="F124" s="17">
        <v>42862</v>
      </c>
      <c r="G124" s="4">
        <v>3</v>
      </c>
      <c r="H124" s="3" t="s">
        <v>180</v>
      </c>
      <c r="I124" s="12" t="s">
        <v>270</v>
      </c>
      <c r="J124">
        <v>30357</v>
      </c>
      <c r="K124">
        <v>3</v>
      </c>
    </row>
    <row r="125" spans="1:11" x14ac:dyDescent="0.35">
      <c r="A125" s="10" t="s">
        <v>132</v>
      </c>
      <c r="B125" s="3" t="s">
        <v>162</v>
      </c>
      <c r="C125" s="3"/>
      <c r="D125" s="3" t="s">
        <v>172</v>
      </c>
      <c r="E125" s="3">
        <v>30357</v>
      </c>
      <c r="F125" s="17">
        <v>42869</v>
      </c>
      <c r="G125" s="4">
        <v>5</v>
      </c>
      <c r="H125" s="3" t="s">
        <v>180</v>
      </c>
      <c r="I125" s="12" t="s">
        <v>248</v>
      </c>
      <c r="J125">
        <v>60034</v>
      </c>
      <c r="K125">
        <v>5</v>
      </c>
    </row>
    <row r="126" spans="1:11" x14ac:dyDescent="0.35">
      <c r="A126" s="10" t="s">
        <v>133</v>
      </c>
      <c r="B126" s="3" t="s">
        <v>161</v>
      </c>
      <c r="C126" s="3" t="s">
        <v>169</v>
      </c>
      <c r="D126" s="3"/>
      <c r="E126" s="3">
        <v>60034</v>
      </c>
      <c r="F126" s="17">
        <v>42876</v>
      </c>
      <c r="G126" s="4">
        <v>1</v>
      </c>
      <c r="H126" s="3" t="s">
        <v>181</v>
      </c>
      <c r="I126" s="12" t="s">
        <v>271</v>
      </c>
      <c r="J126">
        <v>90019</v>
      </c>
      <c r="K126">
        <v>1</v>
      </c>
    </row>
    <row r="127" spans="1:11" x14ac:dyDescent="0.35">
      <c r="A127" s="10" t="s">
        <v>134</v>
      </c>
      <c r="B127" s="3" t="s">
        <v>161</v>
      </c>
      <c r="C127" s="3" t="s">
        <v>166</v>
      </c>
      <c r="D127" s="3" t="s">
        <v>171</v>
      </c>
      <c r="E127" s="3">
        <v>90019</v>
      </c>
      <c r="F127" s="17">
        <v>42883</v>
      </c>
      <c r="G127" s="4">
        <v>5</v>
      </c>
      <c r="H127" s="3"/>
      <c r="I127" s="12" t="s">
        <v>272</v>
      </c>
      <c r="J127">
        <v>71494</v>
      </c>
      <c r="K127">
        <v>5</v>
      </c>
    </row>
    <row r="128" spans="1:11" x14ac:dyDescent="0.35">
      <c r="A128" s="10" t="s">
        <v>135</v>
      </c>
      <c r="B128" s="3" t="s">
        <v>165</v>
      </c>
      <c r="C128" s="3"/>
      <c r="D128" s="3" t="s">
        <v>172</v>
      </c>
      <c r="E128" s="3">
        <v>71494</v>
      </c>
      <c r="F128" s="17">
        <v>42890</v>
      </c>
      <c r="G128" s="4">
        <v>3</v>
      </c>
      <c r="H128" s="3" t="s">
        <v>180</v>
      </c>
      <c r="I128" s="12" t="s">
        <v>273</v>
      </c>
      <c r="J128">
        <v>91953</v>
      </c>
      <c r="K128">
        <v>3</v>
      </c>
    </row>
    <row r="129" spans="1:11" x14ac:dyDescent="0.35">
      <c r="A129" s="10" t="s">
        <v>136</v>
      </c>
      <c r="B129" s="3" t="s">
        <v>161</v>
      </c>
      <c r="C129" s="3" t="s">
        <v>166</v>
      </c>
      <c r="D129" s="3" t="s">
        <v>173</v>
      </c>
      <c r="E129" s="3">
        <v>91953</v>
      </c>
      <c r="F129" s="17">
        <v>42897</v>
      </c>
      <c r="G129" s="4">
        <v>2</v>
      </c>
      <c r="H129" s="3" t="s">
        <v>180</v>
      </c>
      <c r="I129" s="12" t="s">
        <v>209</v>
      </c>
      <c r="J129">
        <v>30402</v>
      </c>
      <c r="K129">
        <v>2</v>
      </c>
    </row>
    <row r="130" spans="1:11" x14ac:dyDescent="0.35">
      <c r="A130" s="10" t="s">
        <v>137</v>
      </c>
      <c r="B130" s="3" t="s">
        <v>164</v>
      </c>
      <c r="C130" s="3" t="s">
        <v>168</v>
      </c>
      <c r="D130" s="3" t="s">
        <v>173</v>
      </c>
      <c r="E130" s="3">
        <v>30402</v>
      </c>
      <c r="F130" s="17">
        <v>42904</v>
      </c>
      <c r="G130" s="4">
        <v>1</v>
      </c>
      <c r="H130" s="3"/>
      <c r="I130" s="12" t="s">
        <v>274</v>
      </c>
      <c r="J130">
        <v>62994</v>
      </c>
      <c r="K130">
        <v>1</v>
      </c>
    </row>
    <row r="131" spans="1:11" x14ac:dyDescent="0.35">
      <c r="A131" s="10" t="s">
        <v>138</v>
      </c>
      <c r="B131" s="3" t="s">
        <v>165</v>
      </c>
      <c r="C131" s="3"/>
      <c r="D131" s="3" t="s">
        <v>175</v>
      </c>
      <c r="E131" s="3">
        <v>62994</v>
      </c>
      <c r="F131" s="17">
        <v>42911</v>
      </c>
      <c r="G131" s="21">
        <f>IF(ISBLANK(G125), G124, G125)</f>
        <v>5</v>
      </c>
      <c r="H131" s="3"/>
      <c r="I131" s="12" t="s">
        <v>221</v>
      </c>
      <c r="J131">
        <v>48289</v>
      </c>
      <c r="K131">
        <v>5</v>
      </c>
    </row>
    <row r="132" spans="1:11" x14ac:dyDescent="0.35">
      <c r="A132" s="10" t="s">
        <v>139</v>
      </c>
      <c r="B132" s="3" t="s">
        <v>160</v>
      </c>
      <c r="C132" s="3" t="s">
        <v>168</v>
      </c>
      <c r="D132" s="3" t="s">
        <v>174</v>
      </c>
      <c r="E132" s="3">
        <v>48289</v>
      </c>
      <c r="F132" s="20">
        <v>42918</v>
      </c>
      <c r="G132" s="4">
        <v>3</v>
      </c>
      <c r="H132" s="3" t="s">
        <v>180</v>
      </c>
      <c r="I132" s="12" t="s">
        <v>189</v>
      </c>
      <c r="J132">
        <v>34402</v>
      </c>
      <c r="K132">
        <v>3</v>
      </c>
    </row>
    <row r="133" spans="1:11" x14ac:dyDescent="0.35">
      <c r="A133" s="10" t="s">
        <v>140</v>
      </c>
      <c r="B133" s="3" t="s">
        <v>163</v>
      </c>
      <c r="C133" s="3" t="s">
        <v>170</v>
      </c>
      <c r="D133" s="3" t="s">
        <v>172</v>
      </c>
      <c r="E133" s="3">
        <v>34402</v>
      </c>
      <c r="F133" s="17">
        <v>42925</v>
      </c>
      <c r="G133" s="4">
        <v>3</v>
      </c>
      <c r="H133" s="3" t="s">
        <v>179</v>
      </c>
      <c r="I133" s="12" t="s">
        <v>218</v>
      </c>
      <c r="J133">
        <v>38678</v>
      </c>
      <c r="K133">
        <v>3</v>
      </c>
    </row>
    <row r="134" spans="1:11" x14ac:dyDescent="0.35">
      <c r="A134" s="10" t="s">
        <v>141</v>
      </c>
      <c r="B134" s="3" t="s">
        <v>159</v>
      </c>
      <c r="C134" s="3" t="s">
        <v>167</v>
      </c>
      <c r="D134" s="3" t="s">
        <v>173</v>
      </c>
      <c r="E134" s="3">
        <v>38678</v>
      </c>
      <c r="F134" s="17">
        <v>42932</v>
      </c>
      <c r="G134" s="4">
        <v>3</v>
      </c>
      <c r="H134" s="3" t="s">
        <v>179</v>
      </c>
      <c r="I134" s="12" t="s">
        <v>275</v>
      </c>
      <c r="J134">
        <v>45758</v>
      </c>
      <c r="K134">
        <v>3</v>
      </c>
    </row>
    <row r="135" spans="1:11" x14ac:dyDescent="0.35">
      <c r="A135" s="10" t="s">
        <v>142</v>
      </c>
      <c r="B135" s="3" t="s">
        <v>164</v>
      </c>
      <c r="C135" s="3" t="s">
        <v>167</v>
      </c>
      <c r="D135" s="3" t="s">
        <v>172</v>
      </c>
      <c r="E135" s="3">
        <v>45758</v>
      </c>
      <c r="F135" s="17">
        <v>42939</v>
      </c>
      <c r="G135" s="4">
        <v>3</v>
      </c>
      <c r="H135" s="3"/>
      <c r="I135" s="12" t="s">
        <v>264</v>
      </c>
      <c r="J135">
        <v>62476</v>
      </c>
      <c r="K135">
        <v>3</v>
      </c>
    </row>
    <row r="136" spans="1:11" x14ac:dyDescent="0.35">
      <c r="A136" s="10" t="s">
        <v>143</v>
      </c>
      <c r="B136" s="3" t="s">
        <v>159</v>
      </c>
      <c r="C136" s="3" t="s">
        <v>170</v>
      </c>
      <c r="D136" s="3" t="s">
        <v>174</v>
      </c>
      <c r="E136" s="3">
        <v>62476</v>
      </c>
      <c r="F136" s="17">
        <v>42946</v>
      </c>
      <c r="G136" s="4">
        <v>1</v>
      </c>
      <c r="H136" s="3" t="s">
        <v>179</v>
      </c>
      <c r="I136" s="12" t="s">
        <v>231</v>
      </c>
      <c r="J136">
        <v>39280</v>
      </c>
      <c r="K136">
        <v>1</v>
      </c>
    </row>
    <row r="137" spans="1:11" x14ac:dyDescent="0.35">
      <c r="A137" s="10" t="s">
        <v>144</v>
      </c>
      <c r="B137" s="3" t="s">
        <v>178</v>
      </c>
      <c r="C137" s="3" t="s">
        <v>169</v>
      </c>
      <c r="D137" s="3" t="s">
        <v>175</v>
      </c>
      <c r="E137" s="3">
        <v>39280</v>
      </c>
      <c r="F137" s="17">
        <v>42953</v>
      </c>
      <c r="G137" s="4">
        <v>3</v>
      </c>
      <c r="H137" s="3" t="s">
        <v>181</v>
      </c>
      <c r="I137" s="12" t="s">
        <v>214</v>
      </c>
      <c r="J137">
        <v>60335</v>
      </c>
      <c r="K137">
        <v>3</v>
      </c>
    </row>
    <row r="138" spans="1:11" x14ac:dyDescent="0.35">
      <c r="A138" s="10" t="s">
        <v>145</v>
      </c>
      <c r="B138" s="3" t="s">
        <v>162</v>
      </c>
      <c r="C138" s="3" t="s">
        <v>166</v>
      </c>
      <c r="D138" s="3" t="s">
        <v>174</v>
      </c>
      <c r="E138" s="3">
        <v>60335</v>
      </c>
      <c r="F138" s="17">
        <v>42960</v>
      </c>
      <c r="G138" s="4">
        <v>4</v>
      </c>
      <c r="H138" s="3" t="s">
        <v>179</v>
      </c>
      <c r="I138" s="12" t="s">
        <v>227</v>
      </c>
      <c r="J138">
        <v>84968</v>
      </c>
      <c r="K138">
        <v>4</v>
      </c>
    </row>
    <row r="139" spans="1:11" x14ac:dyDescent="0.35">
      <c r="A139" s="10" t="s">
        <v>146</v>
      </c>
      <c r="B139" s="3" t="s">
        <v>164</v>
      </c>
      <c r="C139" s="3" t="s">
        <v>167</v>
      </c>
      <c r="D139" s="3" t="s">
        <v>172</v>
      </c>
      <c r="E139" s="3">
        <v>84968</v>
      </c>
      <c r="F139" s="17">
        <v>42967</v>
      </c>
      <c r="G139" s="21">
        <f>IF(ISBLANK(G133), G132, G133)</f>
        <v>3</v>
      </c>
      <c r="H139" s="3"/>
      <c r="I139" s="12" t="s">
        <v>276</v>
      </c>
      <c r="J139">
        <v>84750</v>
      </c>
      <c r="K139">
        <v>3</v>
      </c>
    </row>
    <row r="140" spans="1:11" x14ac:dyDescent="0.35">
      <c r="A140" s="10" t="s">
        <v>147</v>
      </c>
      <c r="B140" s="3" t="s">
        <v>164</v>
      </c>
      <c r="C140" s="3" t="s">
        <v>170</v>
      </c>
      <c r="D140" s="3" t="s">
        <v>176</v>
      </c>
      <c r="E140" s="3">
        <v>84750</v>
      </c>
      <c r="F140" s="17">
        <v>42974</v>
      </c>
      <c r="G140" s="4">
        <v>4</v>
      </c>
      <c r="H140" s="3" t="s">
        <v>181</v>
      </c>
      <c r="I140" s="12" t="s">
        <v>195</v>
      </c>
      <c r="J140">
        <v>73348</v>
      </c>
      <c r="K140">
        <v>4</v>
      </c>
    </row>
    <row r="141" spans="1:11" x14ac:dyDescent="0.35">
      <c r="A141" s="10" t="s">
        <v>148</v>
      </c>
      <c r="B141" s="3" t="s">
        <v>165</v>
      </c>
      <c r="C141" s="3" t="s">
        <v>169</v>
      </c>
      <c r="D141" s="3"/>
      <c r="E141" s="3">
        <v>73348</v>
      </c>
      <c r="F141" s="17">
        <v>42981</v>
      </c>
      <c r="G141" s="4">
        <v>2</v>
      </c>
      <c r="H141" s="3"/>
      <c r="I141" s="12" t="s">
        <v>243</v>
      </c>
      <c r="J141" s="19">
        <v>66280.929577464791</v>
      </c>
      <c r="K141">
        <v>2</v>
      </c>
    </row>
    <row r="142" spans="1:11" x14ac:dyDescent="0.35">
      <c r="A142" s="10" t="s">
        <v>149</v>
      </c>
      <c r="B142" s="3" t="s">
        <v>164</v>
      </c>
      <c r="C142" s="3" t="s">
        <v>168</v>
      </c>
      <c r="D142" s="3" t="s">
        <v>173</v>
      </c>
      <c r="E142" s="19">
        <f ca="1">AVERAGE(Table14[Salary])</f>
        <v>66280.929577464791</v>
      </c>
      <c r="F142" s="17">
        <v>42988</v>
      </c>
      <c r="G142" s="4">
        <v>4</v>
      </c>
      <c r="H142" s="3" t="s">
        <v>179</v>
      </c>
      <c r="I142" s="12" t="s">
        <v>182</v>
      </c>
      <c r="J142">
        <v>66882</v>
      </c>
      <c r="K142">
        <v>4</v>
      </c>
    </row>
    <row r="143" spans="1:11" x14ac:dyDescent="0.35">
      <c r="A143" s="10" t="s">
        <v>150</v>
      </c>
      <c r="B143" s="3" t="s">
        <v>162</v>
      </c>
      <c r="C143" s="3" t="s">
        <v>170</v>
      </c>
      <c r="D143" s="3" t="s">
        <v>173</v>
      </c>
      <c r="E143" s="3">
        <v>66882</v>
      </c>
      <c r="F143" s="17">
        <v>42995</v>
      </c>
      <c r="G143" s="4">
        <v>5</v>
      </c>
      <c r="H143" s="3" t="s">
        <v>179</v>
      </c>
      <c r="I143" s="12" t="s">
        <v>207</v>
      </c>
      <c r="J143">
        <v>86775</v>
      </c>
      <c r="K143">
        <v>5</v>
      </c>
    </row>
    <row r="144" spans="1:11" x14ac:dyDescent="0.35">
      <c r="A144" s="10" t="s">
        <v>151</v>
      </c>
      <c r="B144" s="3" t="s">
        <v>160</v>
      </c>
      <c r="C144" s="3" t="s">
        <v>170</v>
      </c>
      <c r="D144" s="3"/>
      <c r="E144" s="3">
        <v>86775</v>
      </c>
      <c r="F144" s="17">
        <v>43002</v>
      </c>
      <c r="G144" s="4">
        <v>3</v>
      </c>
      <c r="H144" s="3" t="s">
        <v>179</v>
      </c>
      <c r="I144" s="12" t="s">
        <v>212</v>
      </c>
      <c r="J144">
        <v>91620</v>
      </c>
      <c r="K144">
        <v>3</v>
      </c>
    </row>
    <row r="145" spans="1:12" x14ac:dyDescent="0.35">
      <c r="A145" s="10" t="s">
        <v>152</v>
      </c>
      <c r="B145" s="3" t="s">
        <v>164</v>
      </c>
      <c r="C145" s="3" t="s">
        <v>168</v>
      </c>
      <c r="D145" s="3" t="s">
        <v>175</v>
      </c>
      <c r="E145" s="3">
        <v>91620</v>
      </c>
      <c r="F145" s="17">
        <v>43009</v>
      </c>
      <c r="G145" s="21">
        <f>IF(ISBLANK(G139), G138, G139)</f>
        <v>3</v>
      </c>
      <c r="H145" s="3"/>
      <c r="I145" s="12" t="s">
        <v>277</v>
      </c>
      <c r="J145">
        <v>94148</v>
      </c>
      <c r="K145">
        <v>3</v>
      </c>
    </row>
    <row r="146" spans="1:12" x14ac:dyDescent="0.35">
      <c r="A146" s="10" t="s">
        <v>153</v>
      </c>
      <c r="B146" s="3" t="s">
        <v>159</v>
      </c>
      <c r="C146" s="3"/>
      <c r="D146" s="3"/>
      <c r="E146" s="3">
        <v>94148</v>
      </c>
      <c r="F146" s="17">
        <v>43016</v>
      </c>
      <c r="G146" s="4">
        <v>2</v>
      </c>
      <c r="H146" s="3"/>
      <c r="I146" s="12" t="s">
        <v>278</v>
      </c>
      <c r="J146">
        <v>35627</v>
      </c>
      <c r="K146">
        <v>2</v>
      </c>
    </row>
    <row r="147" spans="1:12" x14ac:dyDescent="0.35">
      <c r="A147" s="10" t="s">
        <v>154</v>
      </c>
      <c r="B147" s="3" t="s">
        <v>163</v>
      </c>
      <c r="C147" s="3" t="s">
        <v>168</v>
      </c>
      <c r="D147" s="3" t="s">
        <v>176</v>
      </c>
      <c r="E147" s="3">
        <v>35627</v>
      </c>
      <c r="F147" s="17">
        <v>43023</v>
      </c>
      <c r="G147" s="4">
        <v>5</v>
      </c>
      <c r="H147" s="3" t="s">
        <v>181</v>
      </c>
      <c r="I147" s="12" t="s">
        <v>275</v>
      </c>
      <c r="J147">
        <v>57141</v>
      </c>
      <c r="K147">
        <v>5</v>
      </c>
    </row>
    <row r="148" spans="1:12" x14ac:dyDescent="0.35">
      <c r="A148" s="10" t="s">
        <v>155</v>
      </c>
      <c r="B148" s="3" t="s">
        <v>161</v>
      </c>
      <c r="C148" s="3" t="s">
        <v>170</v>
      </c>
      <c r="D148" s="3" t="s">
        <v>173</v>
      </c>
      <c r="E148" s="3">
        <v>57141</v>
      </c>
      <c r="F148" s="17">
        <v>43030</v>
      </c>
      <c r="G148" s="4">
        <v>2</v>
      </c>
      <c r="H148" s="3"/>
      <c r="I148" s="12" t="s">
        <v>276</v>
      </c>
      <c r="J148">
        <v>65270</v>
      </c>
      <c r="K148">
        <v>2</v>
      </c>
    </row>
    <row r="149" spans="1:12" x14ac:dyDescent="0.35">
      <c r="A149" s="10" t="s">
        <v>156</v>
      </c>
      <c r="B149" s="3" t="s">
        <v>165</v>
      </c>
      <c r="C149" s="3" t="s">
        <v>168</v>
      </c>
      <c r="D149" s="3" t="s">
        <v>176</v>
      </c>
      <c r="E149" s="3">
        <v>65270</v>
      </c>
      <c r="F149" s="17">
        <v>43037</v>
      </c>
      <c r="G149" s="4">
        <v>1</v>
      </c>
      <c r="H149" s="3"/>
      <c r="I149" s="12" t="s">
        <v>279</v>
      </c>
      <c r="J149">
        <v>67335</v>
      </c>
      <c r="K149">
        <v>1</v>
      </c>
    </row>
    <row r="150" spans="1:12" x14ac:dyDescent="0.35">
      <c r="A150" s="10" t="s">
        <v>157</v>
      </c>
      <c r="B150" s="3" t="s">
        <v>165</v>
      </c>
      <c r="C150" s="3"/>
      <c r="D150" s="3" t="s">
        <v>175</v>
      </c>
      <c r="E150" s="3">
        <v>67335</v>
      </c>
      <c r="F150" s="17">
        <v>43044</v>
      </c>
      <c r="G150" s="4">
        <v>1</v>
      </c>
      <c r="H150" s="3" t="s">
        <v>179</v>
      </c>
      <c r="I150" s="12" t="s">
        <v>233</v>
      </c>
      <c r="J150">
        <v>98475</v>
      </c>
      <c r="K150">
        <v>1</v>
      </c>
    </row>
    <row r="151" spans="1:12" x14ac:dyDescent="0.35">
      <c r="A151" s="11" t="s">
        <v>158</v>
      </c>
      <c r="B151" s="8" t="s">
        <v>163</v>
      </c>
      <c r="C151" s="8" t="s">
        <v>170</v>
      </c>
      <c r="D151" s="8" t="s">
        <v>174</v>
      </c>
      <c r="E151" s="8">
        <v>98475</v>
      </c>
      <c r="F151" s="18">
        <v>43051</v>
      </c>
      <c r="G151" s="9">
        <v>5</v>
      </c>
      <c r="H151" s="8" t="s">
        <v>179</v>
      </c>
      <c r="I151" s="13" t="s">
        <v>280</v>
      </c>
      <c r="K151">
        <v>5</v>
      </c>
    </row>
    <row r="152" spans="1:12" x14ac:dyDescent="0.35">
      <c r="F152" s="22"/>
      <c r="K152">
        <f>AVERAGE(K2:K151)</f>
        <v>2.74</v>
      </c>
      <c r="L152" t="s">
        <v>294</v>
      </c>
    </row>
    <row r="153" spans="1:12" x14ac:dyDescent="0.35">
      <c r="E153" s="19"/>
      <c r="H153" s="28" t="s">
        <v>4</v>
      </c>
      <c r="I153" s="28"/>
    </row>
    <row r="154" spans="1:12" x14ac:dyDescent="0.35">
      <c r="A154" s="29" t="s">
        <v>288</v>
      </c>
      <c r="B154" s="31" t="s">
        <v>285</v>
      </c>
      <c r="C154" s="32"/>
      <c r="D154" s="32"/>
      <c r="E154" s="32"/>
      <c r="F154" s="33"/>
      <c r="H154" s="27" t="s">
        <v>290</v>
      </c>
      <c r="I154" s="25">
        <f>SUM(J2:J151)</f>
        <v>9875858.5774647892</v>
      </c>
    </row>
    <row r="155" spans="1:12" x14ac:dyDescent="0.35">
      <c r="A155" s="29"/>
      <c r="B155" s="30" t="s">
        <v>286</v>
      </c>
      <c r="C155" s="30"/>
      <c r="D155" s="30"/>
      <c r="E155" s="30"/>
      <c r="F155" s="30"/>
      <c r="H155" s="27" t="s">
        <v>291</v>
      </c>
      <c r="I155" s="24">
        <f>COUNT(J2:J151)</f>
        <v>149</v>
      </c>
    </row>
    <row r="156" spans="1:12" x14ac:dyDescent="0.35">
      <c r="A156" s="29"/>
      <c r="B156" s="30" t="s">
        <v>287</v>
      </c>
      <c r="C156" s="30"/>
      <c r="D156" s="30"/>
      <c r="E156" s="30"/>
      <c r="F156" s="30"/>
      <c r="H156" s="27" t="s">
        <v>293</v>
      </c>
      <c r="I156" s="26">
        <f ca="1">AVERAGE(Table14[Salary])</f>
        <v>66280.929577464791</v>
      </c>
    </row>
    <row r="157" spans="1:12" x14ac:dyDescent="0.35">
      <c r="A157" s="29"/>
      <c r="B157" s="30" t="s">
        <v>292</v>
      </c>
      <c r="C157" s="30"/>
      <c r="D157" s="30"/>
      <c r="E157" s="30"/>
      <c r="F157" s="30"/>
    </row>
  </sheetData>
  <mergeCells count="6">
    <mergeCell ref="H153:I153"/>
    <mergeCell ref="A154:A157"/>
    <mergeCell ref="B155:F155"/>
    <mergeCell ref="B156:F156"/>
    <mergeCell ref="B157:F157"/>
    <mergeCell ref="B154:F154"/>
  </mergeCells>
  <hyperlinks>
    <hyperlink ref="I14" r:id="rId1" xr:uid="{1F470B68-EB0B-4921-BD46-5231033ED979}"/>
  </hyperlinks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E847B-3BC7-4BF3-97F7-D19DEC13F010}">
  <dimension ref="A1:I151"/>
  <sheetViews>
    <sheetView topLeftCell="A135" workbookViewId="0">
      <selection activeCell="L145" sqref="L145"/>
    </sheetView>
  </sheetViews>
  <sheetFormatPr defaultRowHeight="14.5" x14ac:dyDescent="0.35"/>
  <cols>
    <col min="1" max="1" width="11.90625" style="1" customWidth="1"/>
    <col min="2" max="2" width="21.6328125" customWidth="1"/>
    <col min="3" max="3" width="13.6328125" customWidth="1"/>
    <col min="4" max="4" width="10.81640625" customWidth="1"/>
    <col min="5" max="5" width="14.90625" customWidth="1"/>
    <col min="6" max="6" width="15.7265625" style="16" customWidth="1"/>
    <col min="7" max="7" width="12.54296875" style="1" customWidth="1"/>
    <col min="8" max="8" width="12" customWidth="1"/>
    <col min="9" max="9" width="26" style="14" customWidth="1"/>
  </cols>
  <sheetData>
    <row r="1" spans="1:9" s="2" customFormat="1" ht="29" x14ac:dyDescent="0.35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15" t="s">
        <v>5</v>
      </c>
      <c r="G1" s="6" t="s">
        <v>6</v>
      </c>
      <c r="H1" s="6" t="s">
        <v>7</v>
      </c>
      <c r="I1" s="7" t="s">
        <v>8</v>
      </c>
    </row>
    <row r="2" spans="1:9" x14ac:dyDescent="0.35">
      <c r="A2" s="10" t="s">
        <v>9</v>
      </c>
      <c r="B2" s="3"/>
      <c r="C2" s="3" t="s">
        <v>166</v>
      </c>
      <c r="D2" s="3" t="s">
        <v>171</v>
      </c>
      <c r="E2" s="3">
        <f>IF(ISNUMBER(A2),A2,66280)</f>
        <v>66280</v>
      </c>
      <c r="F2" s="17"/>
      <c r="G2" s="4">
        <v>2</v>
      </c>
      <c r="H2" s="3" t="s">
        <v>178</v>
      </c>
      <c r="I2" s="12" t="s">
        <v>182</v>
      </c>
    </row>
    <row r="3" spans="1:9" x14ac:dyDescent="0.35">
      <c r="A3" s="10" t="s">
        <v>10</v>
      </c>
      <c r="B3" s="3" t="s">
        <v>159</v>
      </c>
      <c r="C3" s="3" t="s">
        <v>167</v>
      </c>
      <c r="D3" s="3" t="s">
        <v>172</v>
      </c>
      <c r="E3" s="3">
        <v>54255</v>
      </c>
      <c r="F3" s="17">
        <v>42015</v>
      </c>
      <c r="G3" s="4">
        <v>1</v>
      </c>
      <c r="H3" s="3" t="s">
        <v>179</v>
      </c>
      <c r="I3" s="12" t="s">
        <v>183</v>
      </c>
    </row>
    <row r="4" spans="1:9" x14ac:dyDescent="0.35">
      <c r="A4" s="10" t="s">
        <v>11</v>
      </c>
      <c r="B4" s="3" t="s">
        <v>160</v>
      </c>
      <c r="C4" s="3" t="s">
        <v>166</v>
      </c>
      <c r="D4" s="3" t="s">
        <v>172</v>
      </c>
      <c r="E4" s="3">
        <v>63184</v>
      </c>
      <c r="F4" s="17">
        <v>42022</v>
      </c>
      <c r="G4" s="4">
        <v>2</v>
      </c>
      <c r="H4" s="3"/>
      <c r="I4" s="12" t="s">
        <v>184</v>
      </c>
    </row>
    <row r="5" spans="1:9" x14ac:dyDescent="0.35">
      <c r="A5" s="10" t="s">
        <v>12</v>
      </c>
      <c r="B5" s="3" t="s">
        <v>161</v>
      </c>
      <c r="C5" s="3" t="s">
        <v>168</v>
      </c>
      <c r="D5" s="3" t="s">
        <v>173</v>
      </c>
      <c r="E5" s="3">
        <v>94406</v>
      </c>
      <c r="F5" s="17">
        <v>42029</v>
      </c>
      <c r="G5" s="4">
        <v>1</v>
      </c>
      <c r="H5" s="3" t="s">
        <v>180</v>
      </c>
      <c r="I5" s="12" t="s">
        <v>185</v>
      </c>
    </row>
    <row r="6" spans="1:9" x14ac:dyDescent="0.35">
      <c r="A6" s="10" t="s">
        <v>13</v>
      </c>
      <c r="B6" s="3" t="s">
        <v>162</v>
      </c>
      <c r="C6" s="3" t="s">
        <v>168</v>
      </c>
      <c r="D6" s="3" t="s">
        <v>172</v>
      </c>
      <c r="E6" s="3">
        <v>64120</v>
      </c>
      <c r="F6" s="17">
        <v>42036</v>
      </c>
      <c r="G6" s="4">
        <v>1</v>
      </c>
      <c r="H6" s="3" t="s">
        <v>180</v>
      </c>
      <c r="I6" s="12" t="s">
        <v>186</v>
      </c>
    </row>
    <row r="7" spans="1:9" x14ac:dyDescent="0.35">
      <c r="A7" s="10" t="s">
        <v>14</v>
      </c>
      <c r="B7" s="3" t="s">
        <v>160</v>
      </c>
      <c r="C7" s="3" t="s">
        <v>169</v>
      </c>
      <c r="D7" s="3" t="s">
        <v>174</v>
      </c>
      <c r="E7" s="3">
        <v>78421</v>
      </c>
      <c r="F7" s="17">
        <v>42043</v>
      </c>
      <c r="G7" s="4">
        <v>2</v>
      </c>
      <c r="H7" s="3" t="s">
        <v>181</v>
      </c>
      <c r="I7" s="12" t="s">
        <v>187</v>
      </c>
    </row>
    <row r="8" spans="1:9" x14ac:dyDescent="0.35">
      <c r="A8" s="10" t="s">
        <v>15</v>
      </c>
      <c r="B8" s="3" t="s">
        <v>163</v>
      </c>
      <c r="C8" s="3" t="s">
        <v>168</v>
      </c>
      <c r="D8" s="3"/>
      <c r="E8" s="3">
        <v>67721</v>
      </c>
      <c r="F8" s="17">
        <v>42050</v>
      </c>
      <c r="G8" s="4"/>
      <c r="H8" s="3" t="s">
        <v>180</v>
      </c>
      <c r="I8" s="12" t="s">
        <v>185</v>
      </c>
    </row>
    <row r="9" spans="1:9" x14ac:dyDescent="0.35">
      <c r="A9" s="10" t="s">
        <v>16</v>
      </c>
      <c r="B9" s="3" t="s">
        <v>164</v>
      </c>
      <c r="C9" s="3" t="s">
        <v>170</v>
      </c>
      <c r="D9" s="3"/>
      <c r="E9" s="3">
        <v>35364</v>
      </c>
      <c r="F9" s="17">
        <v>42057</v>
      </c>
      <c r="G9" s="4">
        <v>2</v>
      </c>
      <c r="H9" s="3" t="s">
        <v>179</v>
      </c>
      <c r="I9" s="12" t="s">
        <v>188</v>
      </c>
    </row>
    <row r="10" spans="1:9" x14ac:dyDescent="0.35">
      <c r="A10" s="10" t="s">
        <v>17</v>
      </c>
      <c r="B10" s="3" t="s">
        <v>160</v>
      </c>
      <c r="C10" s="3" t="s">
        <v>169</v>
      </c>
      <c r="D10" s="3" t="s">
        <v>172</v>
      </c>
      <c r="E10" s="3">
        <v>97881</v>
      </c>
      <c r="F10" s="17">
        <v>42064</v>
      </c>
      <c r="G10" s="4"/>
      <c r="H10" s="3" t="s">
        <v>181</v>
      </c>
      <c r="I10" s="12" t="s">
        <v>189</v>
      </c>
    </row>
    <row r="11" spans="1:9" x14ac:dyDescent="0.35">
      <c r="A11" s="10" t="s">
        <v>18</v>
      </c>
      <c r="B11" s="3" t="s">
        <v>164</v>
      </c>
      <c r="C11" s="3" t="s">
        <v>167</v>
      </c>
      <c r="D11" s="3" t="s">
        <v>175</v>
      </c>
      <c r="E11" s="3">
        <v>91846</v>
      </c>
      <c r="F11" s="17">
        <v>42071</v>
      </c>
      <c r="G11" s="4"/>
      <c r="H11" s="3" t="s">
        <v>180</v>
      </c>
      <c r="I11" s="12" t="s">
        <v>190</v>
      </c>
    </row>
    <row r="12" spans="1:9" x14ac:dyDescent="0.35">
      <c r="A12" s="10" t="s">
        <v>19</v>
      </c>
      <c r="B12" s="3" t="s">
        <v>163</v>
      </c>
      <c r="C12" s="3" t="s">
        <v>166</v>
      </c>
      <c r="D12" s="3" t="s">
        <v>175</v>
      </c>
      <c r="E12" s="3">
        <v>64247</v>
      </c>
      <c r="F12" s="17">
        <v>42078</v>
      </c>
      <c r="G12" s="4">
        <v>1</v>
      </c>
      <c r="H12" s="3" t="s">
        <v>181</v>
      </c>
      <c r="I12" s="12" t="s">
        <v>191</v>
      </c>
    </row>
    <row r="13" spans="1:9" x14ac:dyDescent="0.35">
      <c r="A13" s="10" t="s">
        <v>20</v>
      </c>
      <c r="B13" s="3" t="s">
        <v>163</v>
      </c>
      <c r="C13" s="3" t="s">
        <v>169</v>
      </c>
      <c r="D13" s="3" t="s">
        <v>173</v>
      </c>
      <c r="E13" s="3">
        <v>91180</v>
      </c>
      <c r="F13" s="17">
        <v>42085</v>
      </c>
      <c r="G13" s="4">
        <v>5</v>
      </c>
      <c r="H13" s="3" t="s">
        <v>180</v>
      </c>
      <c r="I13" s="12" t="s">
        <v>192</v>
      </c>
    </row>
    <row r="14" spans="1:9" x14ac:dyDescent="0.35">
      <c r="A14" s="10" t="s">
        <v>21</v>
      </c>
      <c r="B14" s="3" t="s">
        <v>165</v>
      </c>
      <c r="C14" s="3" t="s">
        <v>168</v>
      </c>
      <c r="D14" s="3"/>
      <c r="E14" s="3">
        <v>96418</v>
      </c>
      <c r="F14" s="17">
        <v>42092</v>
      </c>
      <c r="G14" s="4">
        <v>5</v>
      </c>
      <c r="H14" s="3" t="s">
        <v>180</v>
      </c>
      <c r="I14" s="12" t="s">
        <v>183</v>
      </c>
    </row>
    <row r="15" spans="1:9" x14ac:dyDescent="0.35">
      <c r="A15" s="10" t="s">
        <v>22</v>
      </c>
      <c r="B15" s="3" t="s">
        <v>163</v>
      </c>
      <c r="C15" s="3"/>
      <c r="D15" s="3" t="s">
        <v>174</v>
      </c>
      <c r="E15" s="3">
        <v>62158</v>
      </c>
      <c r="F15" s="17">
        <v>42099</v>
      </c>
      <c r="G15" s="4">
        <v>4</v>
      </c>
      <c r="H15" s="3"/>
      <c r="I15" s="12" t="s">
        <v>193</v>
      </c>
    </row>
    <row r="16" spans="1:9" x14ac:dyDescent="0.35">
      <c r="A16" s="10" t="s">
        <v>23</v>
      </c>
      <c r="B16" s="3" t="s">
        <v>162</v>
      </c>
      <c r="C16" s="3" t="s">
        <v>167</v>
      </c>
      <c r="D16" s="3"/>
      <c r="E16" s="3">
        <v>59894</v>
      </c>
      <c r="F16" s="17">
        <v>42106</v>
      </c>
      <c r="G16" s="4">
        <v>2</v>
      </c>
      <c r="H16" s="3" t="s">
        <v>180</v>
      </c>
      <c r="I16" s="12" t="s">
        <v>194</v>
      </c>
    </row>
    <row r="17" spans="1:9" x14ac:dyDescent="0.35">
      <c r="A17" s="10" t="s">
        <v>24</v>
      </c>
      <c r="B17" s="3"/>
      <c r="C17" s="3" t="s">
        <v>169</v>
      </c>
      <c r="D17" s="3" t="s">
        <v>174</v>
      </c>
      <c r="E17" s="3">
        <v>92443</v>
      </c>
      <c r="F17" s="17">
        <v>42113</v>
      </c>
      <c r="G17" s="4">
        <v>3</v>
      </c>
      <c r="H17" s="3" t="s">
        <v>179</v>
      </c>
      <c r="I17" s="12" t="s">
        <v>195</v>
      </c>
    </row>
    <row r="18" spans="1:9" x14ac:dyDescent="0.35">
      <c r="A18" s="10" t="s">
        <v>25</v>
      </c>
      <c r="B18" s="3" t="s">
        <v>165</v>
      </c>
      <c r="C18" s="3"/>
      <c r="D18" s="3" t="s">
        <v>172</v>
      </c>
      <c r="E18" s="3">
        <v>90271</v>
      </c>
      <c r="F18" s="17">
        <v>42120</v>
      </c>
      <c r="G18" s="4"/>
      <c r="H18" s="3"/>
      <c r="I18" s="12" t="s">
        <v>196</v>
      </c>
    </row>
    <row r="19" spans="1:9" x14ac:dyDescent="0.35">
      <c r="A19" s="10" t="s">
        <v>26</v>
      </c>
      <c r="B19" s="3" t="s">
        <v>162</v>
      </c>
      <c r="C19" s="3" t="s">
        <v>166</v>
      </c>
      <c r="D19" s="3" t="s">
        <v>176</v>
      </c>
      <c r="E19" s="3">
        <v>41341</v>
      </c>
      <c r="F19" s="17">
        <v>42127</v>
      </c>
      <c r="G19" s="4">
        <v>1</v>
      </c>
      <c r="H19" s="3" t="s">
        <v>179</v>
      </c>
      <c r="I19" s="12" t="s">
        <v>197</v>
      </c>
    </row>
    <row r="20" spans="1:9" x14ac:dyDescent="0.35">
      <c r="A20" s="10" t="s">
        <v>27</v>
      </c>
      <c r="B20" s="3" t="s">
        <v>160</v>
      </c>
      <c r="C20" s="3" t="s">
        <v>166</v>
      </c>
      <c r="D20" s="3" t="s">
        <v>175</v>
      </c>
      <c r="E20" s="3">
        <v>73602</v>
      </c>
      <c r="F20" s="17">
        <v>42134</v>
      </c>
      <c r="G20" s="4"/>
      <c r="H20" s="3"/>
      <c r="I20" s="12" t="s">
        <v>198</v>
      </c>
    </row>
    <row r="21" spans="1:9" x14ac:dyDescent="0.35">
      <c r="A21" s="10" t="s">
        <v>28</v>
      </c>
      <c r="B21" s="3" t="s">
        <v>159</v>
      </c>
      <c r="C21" s="3"/>
      <c r="D21" s="3" t="s">
        <v>174</v>
      </c>
      <c r="E21" s="3">
        <v>67531</v>
      </c>
      <c r="F21" s="17">
        <v>42141</v>
      </c>
      <c r="G21" s="4">
        <v>5</v>
      </c>
      <c r="H21" s="3" t="s">
        <v>181</v>
      </c>
      <c r="I21" s="12" t="s">
        <v>199</v>
      </c>
    </row>
    <row r="22" spans="1:9" x14ac:dyDescent="0.35">
      <c r="A22" s="10" t="s">
        <v>29</v>
      </c>
      <c r="B22" s="3" t="s">
        <v>162</v>
      </c>
      <c r="C22" s="3" t="s">
        <v>167</v>
      </c>
      <c r="D22" s="3" t="s">
        <v>173</v>
      </c>
      <c r="E22" s="3">
        <f>IF(ISNUMBER(A22),A22,66280)</f>
        <v>66280</v>
      </c>
      <c r="F22" s="17">
        <v>42148</v>
      </c>
      <c r="G22" s="4">
        <v>2</v>
      </c>
      <c r="H22" s="3" t="s">
        <v>179</v>
      </c>
      <c r="I22" s="12" t="s">
        <v>200</v>
      </c>
    </row>
    <row r="23" spans="1:9" x14ac:dyDescent="0.35">
      <c r="A23" s="10" t="s">
        <v>30</v>
      </c>
      <c r="B23" s="3" t="s">
        <v>162</v>
      </c>
      <c r="C23" s="3" t="s">
        <v>167</v>
      </c>
      <c r="D23" s="3"/>
      <c r="E23" s="3">
        <v>98922</v>
      </c>
      <c r="F23" s="17">
        <v>42155</v>
      </c>
      <c r="G23" s="4">
        <v>4</v>
      </c>
      <c r="H23" s="3"/>
      <c r="I23" s="12" t="s">
        <v>201</v>
      </c>
    </row>
    <row r="24" spans="1:9" x14ac:dyDescent="0.35">
      <c r="A24" s="10" t="s">
        <v>31</v>
      </c>
      <c r="B24" s="3" t="s">
        <v>159</v>
      </c>
      <c r="C24" s="3" t="s">
        <v>166</v>
      </c>
      <c r="D24" s="3" t="s">
        <v>174</v>
      </c>
      <c r="E24" s="3">
        <v>38333</v>
      </c>
      <c r="F24" s="17">
        <v>42162</v>
      </c>
      <c r="G24" s="4">
        <v>5</v>
      </c>
      <c r="H24" s="3"/>
      <c r="I24" s="12" t="s">
        <v>202</v>
      </c>
    </row>
    <row r="25" spans="1:9" x14ac:dyDescent="0.35">
      <c r="A25" s="10" t="s">
        <v>32</v>
      </c>
      <c r="B25" s="3" t="s">
        <v>160</v>
      </c>
      <c r="C25" s="3" t="s">
        <v>170</v>
      </c>
      <c r="D25" s="3" t="s">
        <v>175</v>
      </c>
      <c r="E25" s="3">
        <v>36515</v>
      </c>
      <c r="F25" s="17">
        <v>42169</v>
      </c>
      <c r="G25" s="4">
        <v>3</v>
      </c>
      <c r="H25" s="3" t="s">
        <v>180</v>
      </c>
      <c r="I25" s="12" t="s">
        <v>203</v>
      </c>
    </row>
    <row r="26" spans="1:9" x14ac:dyDescent="0.35">
      <c r="A26" s="10" t="s">
        <v>33</v>
      </c>
      <c r="B26" s="3" t="s">
        <v>163</v>
      </c>
      <c r="C26" s="3" t="s">
        <v>166</v>
      </c>
      <c r="D26" s="3"/>
      <c r="E26" s="3">
        <v>91005</v>
      </c>
      <c r="F26" s="17">
        <v>42176</v>
      </c>
      <c r="G26" s="4">
        <v>1</v>
      </c>
      <c r="H26" s="3" t="s">
        <v>179</v>
      </c>
      <c r="I26" s="12" t="s">
        <v>204</v>
      </c>
    </row>
    <row r="27" spans="1:9" x14ac:dyDescent="0.35">
      <c r="A27" s="10" t="s">
        <v>34</v>
      </c>
      <c r="B27" s="3" t="s">
        <v>164</v>
      </c>
      <c r="C27" s="3"/>
      <c r="D27" s="3" t="s">
        <v>171</v>
      </c>
      <c r="E27" s="3">
        <v>52272</v>
      </c>
      <c r="F27" s="17">
        <v>42183</v>
      </c>
      <c r="G27" s="4">
        <v>3</v>
      </c>
      <c r="H27" s="3"/>
      <c r="I27" s="12" t="s">
        <v>205</v>
      </c>
    </row>
    <row r="28" spans="1:9" x14ac:dyDescent="0.35">
      <c r="A28" s="10" t="s">
        <v>35</v>
      </c>
      <c r="B28" s="3" t="s">
        <v>159</v>
      </c>
      <c r="C28" s="3" t="s">
        <v>168</v>
      </c>
      <c r="D28" s="3" t="s">
        <v>172</v>
      </c>
      <c r="E28" s="3">
        <v>76518</v>
      </c>
      <c r="F28" s="17">
        <v>42190</v>
      </c>
      <c r="G28" s="4">
        <v>2</v>
      </c>
      <c r="H28" s="3" t="s">
        <v>181</v>
      </c>
      <c r="I28" s="12" t="s">
        <v>206</v>
      </c>
    </row>
    <row r="29" spans="1:9" x14ac:dyDescent="0.35">
      <c r="A29" s="10" t="s">
        <v>36</v>
      </c>
      <c r="B29" s="3" t="s">
        <v>160</v>
      </c>
      <c r="C29" s="3" t="s">
        <v>169</v>
      </c>
      <c r="D29" s="3" t="s">
        <v>175</v>
      </c>
      <c r="E29" s="3">
        <v>41448</v>
      </c>
      <c r="F29" s="17">
        <v>42197</v>
      </c>
      <c r="G29" s="4">
        <v>3</v>
      </c>
      <c r="H29" s="3" t="s">
        <v>179</v>
      </c>
      <c r="I29" s="12" t="s">
        <v>207</v>
      </c>
    </row>
    <row r="30" spans="1:9" x14ac:dyDescent="0.35">
      <c r="A30" s="10" t="s">
        <v>37</v>
      </c>
      <c r="B30" s="3" t="s">
        <v>161</v>
      </c>
      <c r="C30" s="3" t="s">
        <v>167</v>
      </c>
      <c r="D30" s="3" t="s">
        <v>175</v>
      </c>
      <c r="E30" s="3">
        <v>49282</v>
      </c>
      <c r="F30" s="17">
        <v>42204</v>
      </c>
      <c r="G30" s="4">
        <v>2</v>
      </c>
      <c r="H30" s="3" t="s">
        <v>181</v>
      </c>
      <c r="I30" s="12" t="s">
        <v>208</v>
      </c>
    </row>
    <row r="31" spans="1:9" x14ac:dyDescent="0.35">
      <c r="A31" s="10" t="s">
        <v>38</v>
      </c>
      <c r="B31" s="3" t="s">
        <v>165</v>
      </c>
      <c r="C31" s="3" t="s">
        <v>170</v>
      </c>
      <c r="D31" s="3" t="s">
        <v>175</v>
      </c>
      <c r="E31" s="3">
        <v>92959</v>
      </c>
      <c r="F31" s="17">
        <v>42211</v>
      </c>
      <c r="G31" s="4">
        <v>5</v>
      </c>
      <c r="H31" s="3"/>
      <c r="I31" s="12" t="s">
        <v>209</v>
      </c>
    </row>
    <row r="32" spans="1:9" x14ac:dyDescent="0.35">
      <c r="A32" s="10" t="s">
        <v>39</v>
      </c>
      <c r="B32" s="3"/>
      <c r="C32" s="3" t="s">
        <v>170</v>
      </c>
      <c r="D32" s="3"/>
      <c r="E32" s="3">
        <v>92259</v>
      </c>
      <c r="F32" s="17"/>
      <c r="G32" s="4">
        <v>1</v>
      </c>
      <c r="H32" s="3" t="s">
        <v>178</v>
      </c>
      <c r="I32" s="12" t="s">
        <v>210</v>
      </c>
    </row>
    <row r="33" spans="1:9" x14ac:dyDescent="0.35">
      <c r="A33" s="10" t="s">
        <v>40</v>
      </c>
      <c r="B33" s="3" t="s">
        <v>159</v>
      </c>
      <c r="C33" s="3" t="s">
        <v>167</v>
      </c>
      <c r="D33" s="3" t="s">
        <v>172</v>
      </c>
      <c r="E33" s="3">
        <v>92299</v>
      </c>
      <c r="F33" s="17">
        <v>42225</v>
      </c>
      <c r="G33" s="4">
        <v>3</v>
      </c>
      <c r="H33" s="3" t="s">
        <v>180</v>
      </c>
      <c r="I33" s="12" t="s">
        <v>211</v>
      </c>
    </row>
    <row r="34" spans="1:9" x14ac:dyDescent="0.35">
      <c r="A34" s="10" t="s">
        <v>41</v>
      </c>
      <c r="B34" s="3" t="s">
        <v>163</v>
      </c>
      <c r="C34" s="3" t="s">
        <v>167</v>
      </c>
      <c r="D34" s="3"/>
      <c r="E34" s="3">
        <v>95586</v>
      </c>
      <c r="F34" s="17">
        <v>42232</v>
      </c>
      <c r="G34" s="4">
        <v>3</v>
      </c>
      <c r="H34" s="3" t="s">
        <v>179</v>
      </c>
      <c r="I34" s="12" t="s">
        <v>212</v>
      </c>
    </row>
    <row r="35" spans="1:9" x14ac:dyDescent="0.35">
      <c r="A35" s="10" t="s">
        <v>42</v>
      </c>
      <c r="B35" s="3" t="s">
        <v>164</v>
      </c>
      <c r="C35" s="3"/>
      <c r="D35" s="3" t="s">
        <v>173</v>
      </c>
      <c r="E35" s="3">
        <v>95367</v>
      </c>
      <c r="F35" s="17">
        <v>42239</v>
      </c>
      <c r="G35" s="4"/>
      <c r="H35" s="3" t="s">
        <v>180</v>
      </c>
      <c r="I35" s="12" t="s">
        <v>213</v>
      </c>
    </row>
    <row r="36" spans="1:9" x14ac:dyDescent="0.35">
      <c r="A36" s="10" t="s">
        <v>43</v>
      </c>
      <c r="B36" s="3" t="s">
        <v>161</v>
      </c>
      <c r="C36" s="3" t="s">
        <v>168</v>
      </c>
      <c r="D36" s="3" t="s">
        <v>176</v>
      </c>
      <c r="E36" s="3">
        <v>79549</v>
      </c>
      <c r="F36" s="17">
        <v>42246</v>
      </c>
      <c r="G36" s="4">
        <v>3</v>
      </c>
      <c r="H36" s="3"/>
      <c r="I36" s="12" t="s">
        <v>214</v>
      </c>
    </row>
    <row r="37" spans="1:9" x14ac:dyDescent="0.35">
      <c r="A37" s="10" t="s">
        <v>44</v>
      </c>
      <c r="B37" s="3" t="s">
        <v>160</v>
      </c>
      <c r="C37" s="3"/>
      <c r="D37" s="3" t="s">
        <v>175</v>
      </c>
      <c r="E37" s="3">
        <v>54463</v>
      </c>
      <c r="F37" s="17">
        <v>42253</v>
      </c>
      <c r="G37" s="4">
        <v>4</v>
      </c>
      <c r="H37" s="3" t="s">
        <v>180</v>
      </c>
      <c r="I37" s="12" t="s">
        <v>182</v>
      </c>
    </row>
    <row r="38" spans="1:9" x14ac:dyDescent="0.35">
      <c r="A38" s="10" t="s">
        <v>45</v>
      </c>
      <c r="B38" s="3" t="s">
        <v>160</v>
      </c>
      <c r="C38" s="3" t="s">
        <v>169</v>
      </c>
      <c r="D38" s="3" t="s">
        <v>173</v>
      </c>
      <c r="E38" s="3">
        <v>89781</v>
      </c>
      <c r="F38" s="17">
        <v>42260</v>
      </c>
      <c r="G38" s="4"/>
      <c r="H38" s="3" t="s">
        <v>181</v>
      </c>
      <c r="I38" s="12" t="s">
        <v>215</v>
      </c>
    </row>
    <row r="39" spans="1:9" x14ac:dyDescent="0.35">
      <c r="A39" s="10" t="s">
        <v>46</v>
      </c>
      <c r="B39" s="3" t="s">
        <v>160</v>
      </c>
      <c r="C39" s="3" t="s">
        <v>167</v>
      </c>
      <c r="D39" s="3"/>
      <c r="E39" s="3">
        <v>64796</v>
      </c>
      <c r="F39" s="17">
        <v>42267</v>
      </c>
      <c r="G39" s="4"/>
      <c r="H39" s="3" t="s">
        <v>179</v>
      </c>
      <c r="I39" s="12" t="s">
        <v>216</v>
      </c>
    </row>
    <row r="40" spans="1:9" x14ac:dyDescent="0.35">
      <c r="A40" s="10" t="s">
        <v>47</v>
      </c>
      <c r="B40" s="3" t="s">
        <v>161</v>
      </c>
      <c r="C40" s="3" t="s">
        <v>170</v>
      </c>
      <c r="D40" s="3" t="s">
        <v>175</v>
      </c>
      <c r="E40" s="3">
        <v>52093</v>
      </c>
      <c r="F40" s="17">
        <v>42274</v>
      </c>
      <c r="G40" s="4">
        <v>5</v>
      </c>
      <c r="H40" s="3"/>
      <c r="I40" s="12" t="s">
        <v>217</v>
      </c>
    </row>
    <row r="41" spans="1:9" x14ac:dyDescent="0.35">
      <c r="A41" s="10" t="s">
        <v>48</v>
      </c>
      <c r="B41" s="3" t="s">
        <v>164</v>
      </c>
      <c r="C41" s="3" t="s">
        <v>167</v>
      </c>
      <c r="D41" s="3" t="s">
        <v>175</v>
      </c>
      <c r="E41" s="3">
        <v>48224</v>
      </c>
      <c r="F41" s="17">
        <v>42281</v>
      </c>
      <c r="G41" s="4">
        <v>3</v>
      </c>
      <c r="H41" s="3"/>
      <c r="I41" s="12" t="s">
        <v>218</v>
      </c>
    </row>
    <row r="42" spans="1:9" x14ac:dyDescent="0.35">
      <c r="A42" s="10" t="s">
        <v>49</v>
      </c>
      <c r="B42" s="3" t="s">
        <v>165</v>
      </c>
      <c r="C42" s="3" t="s">
        <v>166</v>
      </c>
      <c r="D42" s="3" t="s">
        <v>175</v>
      </c>
      <c r="E42" s="3">
        <f>IF(ISNUMBER(A42),A42,66280)</f>
        <v>66280</v>
      </c>
      <c r="F42" s="17"/>
      <c r="G42" s="4">
        <v>4</v>
      </c>
      <c r="H42" s="3" t="s">
        <v>181</v>
      </c>
      <c r="I42" s="12" t="s">
        <v>219</v>
      </c>
    </row>
    <row r="43" spans="1:9" x14ac:dyDescent="0.35">
      <c r="A43" s="10" t="s">
        <v>50</v>
      </c>
      <c r="B43" s="3" t="s">
        <v>160</v>
      </c>
      <c r="C43" s="3" t="s">
        <v>169</v>
      </c>
      <c r="D43" s="3" t="s">
        <v>172</v>
      </c>
      <c r="E43" s="3">
        <v>33956</v>
      </c>
      <c r="F43" s="17">
        <v>42295</v>
      </c>
      <c r="G43" s="4"/>
      <c r="H43" s="3"/>
      <c r="I43" s="12" t="s">
        <v>220</v>
      </c>
    </row>
    <row r="44" spans="1:9" x14ac:dyDescent="0.35">
      <c r="A44" s="10" t="s">
        <v>51</v>
      </c>
      <c r="B44" s="3" t="s">
        <v>165</v>
      </c>
      <c r="C44" s="3"/>
      <c r="D44" s="3" t="s">
        <v>176</v>
      </c>
      <c r="E44" s="3">
        <v>64913</v>
      </c>
      <c r="F44" s="17">
        <v>42302</v>
      </c>
      <c r="G44" s="4">
        <v>1</v>
      </c>
      <c r="H44" s="3" t="s">
        <v>181</v>
      </c>
      <c r="I44" s="12" t="s">
        <v>221</v>
      </c>
    </row>
    <row r="45" spans="1:9" x14ac:dyDescent="0.35">
      <c r="A45" s="10" t="s">
        <v>52</v>
      </c>
      <c r="B45" s="3" t="s">
        <v>160</v>
      </c>
      <c r="C45" s="3" t="s">
        <v>170</v>
      </c>
      <c r="D45" s="3" t="s">
        <v>176</v>
      </c>
      <c r="E45" s="3">
        <v>35326</v>
      </c>
      <c r="F45" s="17">
        <v>42309</v>
      </c>
      <c r="G45" s="4"/>
      <c r="H45" s="3" t="s">
        <v>181</v>
      </c>
      <c r="I45" s="12" t="s">
        <v>222</v>
      </c>
    </row>
    <row r="46" spans="1:9" x14ac:dyDescent="0.35">
      <c r="A46" s="10" t="s">
        <v>53</v>
      </c>
      <c r="B46" s="3" t="s">
        <v>164</v>
      </c>
      <c r="C46" s="3" t="s">
        <v>166</v>
      </c>
      <c r="D46" s="3"/>
      <c r="E46" s="3">
        <v>81610</v>
      </c>
      <c r="F46" s="17">
        <v>42316</v>
      </c>
      <c r="G46" s="4">
        <v>1</v>
      </c>
      <c r="H46" s="3"/>
      <c r="I46" s="12" t="s">
        <v>223</v>
      </c>
    </row>
    <row r="47" spans="1:9" x14ac:dyDescent="0.35">
      <c r="A47" s="10" t="s">
        <v>54</v>
      </c>
      <c r="B47" s="3"/>
      <c r="C47" s="3" t="s">
        <v>167</v>
      </c>
      <c r="D47" s="3"/>
      <c r="E47" s="3">
        <v>58962</v>
      </c>
      <c r="F47" s="17">
        <v>42323</v>
      </c>
      <c r="G47" s="4">
        <v>3</v>
      </c>
      <c r="H47" s="3" t="s">
        <v>179</v>
      </c>
      <c r="I47" s="12" t="s">
        <v>183</v>
      </c>
    </row>
    <row r="48" spans="1:9" x14ac:dyDescent="0.35">
      <c r="A48" s="10" t="s">
        <v>55</v>
      </c>
      <c r="B48" s="3" t="s">
        <v>164</v>
      </c>
      <c r="C48" s="3" t="s">
        <v>169</v>
      </c>
      <c r="D48" s="3" t="s">
        <v>172</v>
      </c>
      <c r="E48" s="3">
        <v>92701</v>
      </c>
      <c r="F48" s="17">
        <v>42330</v>
      </c>
      <c r="G48" s="4">
        <v>3</v>
      </c>
      <c r="H48" s="3" t="s">
        <v>179</v>
      </c>
      <c r="I48" s="12" t="s">
        <v>224</v>
      </c>
    </row>
    <row r="49" spans="1:9" x14ac:dyDescent="0.35">
      <c r="A49" s="10" t="s">
        <v>56</v>
      </c>
      <c r="B49" s="3" t="s">
        <v>164</v>
      </c>
      <c r="C49" s="3" t="s">
        <v>167</v>
      </c>
      <c r="D49" s="3" t="s">
        <v>174</v>
      </c>
      <c r="E49" s="3">
        <v>58245</v>
      </c>
      <c r="F49" s="17">
        <v>42337</v>
      </c>
      <c r="G49" s="4">
        <v>4</v>
      </c>
      <c r="H49" s="3"/>
      <c r="I49" s="12" t="s">
        <v>225</v>
      </c>
    </row>
    <row r="50" spans="1:9" x14ac:dyDescent="0.35">
      <c r="A50" s="10" t="s">
        <v>57</v>
      </c>
      <c r="B50" s="3" t="s">
        <v>161</v>
      </c>
      <c r="C50" s="3" t="s">
        <v>166</v>
      </c>
      <c r="D50" s="3"/>
      <c r="E50" s="3">
        <v>66513</v>
      </c>
      <c r="F50" s="17">
        <v>42344</v>
      </c>
      <c r="G50" s="4">
        <v>2</v>
      </c>
      <c r="H50" s="3" t="s">
        <v>179</v>
      </c>
      <c r="I50" s="12" t="s">
        <v>187</v>
      </c>
    </row>
    <row r="51" spans="1:9" x14ac:dyDescent="0.35">
      <c r="A51" s="10" t="s">
        <v>58</v>
      </c>
      <c r="B51" s="3" t="s">
        <v>159</v>
      </c>
      <c r="C51" s="3" t="s">
        <v>167</v>
      </c>
      <c r="D51" s="3" t="s">
        <v>172</v>
      </c>
      <c r="E51" s="3">
        <v>78720</v>
      </c>
      <c r="F51" s="17">
        <v>42351</v>
      </c>
      <c r="G51" s="4">
        <v>5</v>
      </c>
      <c r="H51" s="3" t="s">
        <v>181</v>
      </c>
      <c r="I51" s="12" t="s">
        <v>219</v>
      </c>
    </row>
    <row r="52" spans="1:9" x14ac:dyDescent="0.35">
      <c r="A52" s="10" t="s">
        <v>59</v>
      </c>
      <c r="B52" s="3" t="s">
        <v>164</v>
      </c>
      <c r="C52" s="3"/>
      <c r="D52" s="3" t="s">
        <v>171</v>
      </c>
      <c r="E52" s="3">
        <v>30686</v>
      </c>
      <c r="F52" s="17"/>
      <c r="G52" s="4">
        <v>2</v>
      </c>
      <c r="H52" s="3" t="s">
        <v>181</v>
      </c>
      <c r="I52" s="12" t="s">
        <v>226</v>
      </c>
    </row>
    <row r="53" spans="1:9" x14ac:dyDescent="0.35">
      <c r="A53" s="10" t="s">
        <v>60</v>
      </c>
      <c r="B53" s="3" t="s">
        <v>163</v>
      </c>
      <c r="C53" s="3" t="s">
        <v>168</v>
      </c>
      <c r="D53" s="3" t="s">
        <v>174</v>
      </c>
      <c r="E53" s="3">
        <v>39423</v>
      </c>
      <c r="F53" s="17">
        <v>42365</v>
      </c>
      <c r="G53" s="4">
        <v>5</v>
      </c>
      <c r="H53" s="3"/>
      <c r="I53" s="12" t="s">
        <v>227</v>
      </c>
    </row>
    <row r="54" spans="1:9" x14ac:dyDescent="0.35">
      <c r="A54" s="10" t="s">
        <v>61</v>
      </c>
      <c r="B54" s="3" t="s">
        <v>159</v>
      </c>
      <c r="C54" s="3" t="s">
        <v>170</v>
      </c>
      <c r="D54" s="3"/>
      <c r="E54" s="3">
        <v>30280</v>
      </c>
      <c r="F54" s="17">
        <v>42372</v>
      </c>
      <c r="G54" s="4">
        <v>1</v>
      </c>
      <c r="H54" s="3"/>
      <c r="I54" s="12" t="s">
        <v>228</v>
      </c>
    </row>
    <row r="55" spans="1:9" x14ac:dyDescent="0.35">
      <c r="A55" s="10" t="s">
        <v>62</v>
      </c>
      <c r="B55" s="3" t="s">
        <v>159</v>
      </c>
      <c r="C55" s="3" t="s">
        <v>166</v>
      </c>
      <c r="D55" s="3" t="s">
        <v>175</v>
      </c>
      <c r="E55" s="3">
        <v>33352</v>
      </c>
      <c r="F55" s="17">
        <v>42379</v>
      </c>
      <c r="G55" s="4">
        <v>3</v>
      </c>
      <c r="H55" s="3" t="s">
        <v>181</v>
      </c>
      <c r="I55" s="12" t="s">
        <v>200</v>
      </c>
    </row>
    <row r="56" spans="1:9" x14ac:dyDescent="0.35">
      <c r="A56" s="10" t="s">
        <v>63</v>
      </c>
      <c r="B56" s="3" t="s">
        <v>165</v>
      </c>
      <c r="C56" s="3" t="s">
        <v>170</v>
      </c>
      <c r="D56" s="3" t="s">
        <v>175</v>
      </c>
      <c r="E56" s="3">
        <v>75633</v>
      </c>
      <c r="F56" s="17">
        <v>42386</v>
      </c>
      <c r="G56" s="4">
        <v>5</v>
      </c>
      <c r="H56" s="3" t="s">
        <v>179</v>
      </c>
      <c r="I56" s="12" t="s">
        <v>229</v>
      </c>
    </row>
    <row r="57" spans="1:9" x14ac:dyDescent="0.35">
      <c r="A57" s="10" t="s">
        <v>64</v>
      </c>
      <c r="B57" s="3" t="s">
        <v>164</v>
      </c>
      <c r="C57" s="3"/>
      <c r="D57" s="3" t="s">
        <v>173</v>
      </c>
      <c r="E57" s="3">
        <v>74815</v>
      </c>
      <c r="F57" s="17">
        <v>42393</v>
      </c>
      <c r="G57" s="4">
        <v>5</v>
      </c>
      <c r="H57" s="3" t="s">
        <v>181</v>
      </c>
      <c r="I57" s="12" t="s">
        <v>230</v>
      </c>
    </row>
    <row r="58" spans="1:9" x14ac:dyDescent="0.35">
      <c r="A58" s="10" t="s">
        <v>65</v>
      </c>
      <c r="B58" s="3" t="s">
        <v>161</v>
      </c>
      <c r="C58" s="3" t="s">
        <v>168</v>
      </c>
      <c r="D58" s="3" t="s">
        <v>176</v>
      </c>
      <c r="E58" s="3">
        <v>60011</v>
      </c>
      <c r="F58" s="17">
        <v>42400</v>
      </c>
      <c r="G58" s="4">
        <v>1</v>
      </c>
      <c r="H58" s="3" t="s">
        <v>180</v>
      </c>
      <c r="I58" s="12" t="s">
        <v>231</v>
      </c>
    </row>
    <row r="59" spans="1:9" x14ac:dyDescent="0.35">
      <c r="A59" s="10" t="s">
        <v>66</v>
      </c>
      <c r="B59" s="3" t="s">
        <v>159</v>
      </c>
      <c r="C59" s="3"/>
      <c r="D59" s="3" t="s">
        <v>174</v>
      </c>
      <c r="E59" s="3">
        <v>96949</v>
      </c>
      <c r="F59" s="17">
        <v>42407</v>
      </c>
      <c r="G59" s="4">
        <v>3</v>
      </c>
      <c r="H59" s="3"/>
      <c r="I59" s="12" t="s">
        <v>207</v>
      </c>
    </row>
    <row r="60" spans="1:9" x14ac:dyDescent="0.35">
      <c r="A60" s="10" t="s">
        <v>67</v>
      </c>
      <c r="B60" s="3" t="s">
        <v>163</v>
      </c>
      <c r="C60" s="3" t="s">
        <v>170</v>
      </c>
      <c r="D60" s="3"/>
      <c r="E60" s="3">
        <v>84924</v>
      </c>
      <c r="F60" s="17">
        <v>42414</v>
      </c>
      <c r="G60" s="4">
        <v>5</v>
      </c>
      <c r="H60" s="3" t="s">
        <v>180</v>
      </c>
      <c r="I60" s="12" t="s">
        <v>232</v>
      </c>
    </row>
    <row r="61" spans="1:9" x14ac:dyDescent="0.35">
      <c r="A61" s="10" t="s">
        <v>68</v>
      </c>
      <c r="B61" s="3" t="s">
        <v>163</v>
      </c>
      <c r="C61" s="3" t="s">
        <v>166</v>
      </c>
      <c r="D61" s="3" t="s">
        <v>173</v>
      </c>
      <c r="E61" s="3">
        <v>82033</v>
      </c>
      <c r="F61" s="17">
        <v>42421</v>
      </c>
      <c r="G61" s="4">
        <v>1</v>
      </c>
      <c r="H61" s="3"/>
      <c r="I61" s="12" t="s">
        <v>223</v>
      </c>
    </row>
    <row r="62" spans="1:9" x14ac:dyDescent="0.35">
      <c r="A62" s="10" t="s">
        <v>69</v>
      </c>
      <c r="B62" s="3"/>
      <c r="C62" s="3" t="s">
        <v>170</v>
      </c>
      <c r="D62" s="3" t="s">
        <v>172</v>
      </c>
      <c r="E62" s="3">
        <f>IF(ISNUMBER(A62),A62,66280)</f>
        <v>66280</v>
      </c>
      <c r="F62" s="17"/>
      <c r="G62" s="4">
        <v>5</v>
      </c>
      <c r="H62" s="3" t="s">
        <v>178</v>
      </c>
      <c r="I62" s="12" t="s">
        <v>233</v>
      </c>
    </row>
    <row r="63" spans="1:9" x14ac:dyDescent="0.35">
      <c r="A63" s="10" t="s">
        <v>70</v>
      </c>
      <c r="B63" s="3" t="s">
        <v>159</v>
      </c>
      <c r="C63" s="3"/>
      <c r="D63" s="3" t="s">
        <v>176</v>
      </c>
      <c r="E63" s="3">
        <v>31499</v>
      </c>
      <c r="F63" s="17">
        <v>42435</v>
      </c>
      <c r="G63" s="4">
        <v>2</v>
      </c>
      <c r="H63" s="3"/>
      <c r="I63" s="12" t="s">
        <v>215</v>
      </c>
    </row>
    <row r="64" spans="1:9" x14ac:dyDescent="0.35">
      <c r="A64" s="10" t="s">
        <v>71</v>
      </c>
      <c r="B64" s="3" t="s">
        <v>164</v>
      </c>
      <c r="C64" s="3" t="s">
        <v>169</v>
      </c>
      <c r="D64" s="3" t="s">
        <v>175</v>
      </c>
      <c r="E64" s="3">
        <v>97981</v>
      </c>
      <c r="F64" s="17">
        <v>42442</v>
      </c>
      <c r="G64" s="4">
        <v>5</v>
      </c>
      <c r="H64" s="3" t="s">
        <v>181</v>
      </c>
      <c r="I64" s="12" t="s">
        <v>234</v>
      </c>
    </row>
    <row r="65" spans="1:9" x14ac:dyDescent="0.35">
      <c r="A65" s="10" t="s">
        <v>72</v>
      </c>
      <c r="B65" s="3" t="s">
        <v>159</v>
      </c>
      <c r="C65" s="3" t="s">
        <v>167</v>
      </c>
      <c r="D65" s="3" t="s">
        <v>173</v>
      </c>
      <c r="E65" s="3">
        <v>36541</v>
      </c>
      <c r="F65" s="17">
        <v>42449</v>
      </c>
      <c r="G65" s="4">
        <v>2</v>
      </c>
      <c r="H65" s="3" t="s">
        <v>179</v>
      </c>
      <c r="I65" s="12" t="s">
        <v>235</v>
      </c>
    </row>
    <row r="66" spans="1:9" x14ac:dyDescent="0.35">
      <c r="A66" s="10" t="s">
        <v>73</v>
      </c>
      <c r="B66" s="3" t="s">
        <v>161</v>
      </c>
      <c r="C66" s="3" t="s">
        <v>169</v>
      </c>
      <c r="D66" s="3" t="s">
        <v>174</v>
      </c>
      <c r="E66" s="3">
        <v>84737</v>
      </c>
      <c r="F66" s="17">
        <v>42456</v>
      </c>
      <c r="G66" s="4">
        <v>1</v>
      </c>
      <c r="H66" s="3" t="s">
        <v>180</v>
      </c>
      <c r="I66" s="12" t="s">
        <v>236</v>
      </c>
    </row>
    <row r="67" spans="1:9" x14ac:dyDescent="0.35">
      <c r="A67" s="10" t="s">
        <v>74</v>
      </c>
      <c r="B67" s="3" t="s">
        <v>163</v>
      </c>
      <c r="C67" s="3" t="s">
        <v>166</v>
      </c>
      <c r="D67" s="3" t="s">
        <v>174</v>
      </c>
      <c r="E67" s="3">
        <v>33468</v>
      </c>
      <c r="F67" s="17">
        <v>42463</v>
      </c>
      <c r="G67" s="4">
        <v>4</v>
      </c>
      <c r="H67" s="3" t="s">
        <v>180</v>
      </c>
      <c r="I67" s="12" t="s">
        <v>237</v>
      </c>
    </row>
    <row r="68" spans="1:9" x14ac:dyDescent="0.35">
      <c r="A68" s="10" t="s">
        <v>75</v>
      </c>
      <c r="B68" s="3" t="s">
        <v>163</v>
      </c>
      <c r="C68" s="3"/>
      <c r="D68" s="3" t="s">
        <v>176</v>
      </c>
      <c r="E68" s="3">
        <v>96365</v>
      </c>
      <c r="F68" s="17">
        <v>42470</v>
      </c>
      <c r="G68" s="4">
        <v>3</v>
      </c>
      <c r="H68" s="3" t="s">
        <v>179</v>
      </c>
      <c r="I68" s="12" t="s">
        <v>238</v>
      </c>
    </row>
    <row r="69" spans="1:9" x14ac:dyDescent="0.35">
      <c r="A69" s="10" t="s">
        <v>76</v>
      </c>
      <c r="B69" s="3" t="s">
        <v>160</v>
      </c>
      <c r="C69" s="3" t="s">
        <v>168</v>
      </c>
      <c r="D69" s="3" t="s">
        <v>174</v>
      </c>
      <c r="E69" s="3">
        <v>61942</v>
      </c>
      <c r="F69" s="17">
        <v>42477</v>
      </c>
      <c r="G69" s="4">
        <v>3</v>
      </c>
      <c r="H69" s="3" t="s">
        <v>181</v>
      </c>
      <c r="I69" s="12" t="s">
        <v>239</v>
      </c>
    </row>
    <row r="70" spans="1:9" x14ac:dyDescent="0.35">
      <c r="A70" s="10" t="s">
        <v>77</v>
      </c>
      <c r="B70" s="3" t="s">
        <v>163</v>
      </c>
      <c r="C70" s="3" t="s">
        <v>166</v>
      </c>
      <c r="D70" s="3" t="s">
        <v>175</v>
      </c>
      <c r="E70" s="3">
        <v>41467</v>
      </c>
      <c r="F70" s="17">
        <v>42484</v>
      </c>
      <c r="G70" s="4">
        <v>2</v>
      </c>
      <c r="H70" s="3"/>
      <c r="I70" s="12" t="s">
        <v>201</v>
      </c>
    </row>
    <row r="71" spans="1:9" x14ac:dyDescent="0.35">
      <c r="A71" s="10" t="s">
        <v>78</v>
      </c>
      <c r="B71" s="3" t="s">
        <v>165</v>
      </c>
      <c r="C71" s="3" t="s">
        <v>166</v>
      </c>
      <c r="D71" s="3" t="s">
        <v>174</v>
      </c>
      <c r="E71" s="3">
        <v>77096</v>
      </c>
      <c r="F71" s="17">
        <v>42491</v>
      </c>
      <c r="G71" s="4">
        <v>1</v>
      </c>
      <c r="H71" s="3"/>
      <c r="I71" s="12" t="s">
        <v>240</v>
      </c>
    </row>
    <row r="72" spans="1:9" x14ac:dyDescent="0.35">
      <c r="A72" s="10" t="s">
        <v>79</v>
      </c>
      <c r="B72" s="3" t="s">
        <v>159</v>
      </c>
      <c r="C72" s="3" t="s">
        <v>168</v>
      </c>
      <c r="D72" s="3" t="s">
        <v>176</v>
      </c>
      <c r="E72" s="3">
        <v>69952</v>
      </c>
      <c r="F72" s="17">
        <v>42498</v>
      </c>
      <c r="G72" s="4">
        <v>5</v>
      </c>
      <c r="H72" s="3" t="s">
        <v>181</v>
      </c>
      <c r="I72" s="12" t="s">
        <v>182</v>
      </c>
    </row>
    <row r="73" spans="1:9" x14ac:dyDescent="0.35">
      <c r="A73" s="10" t="s">
        <v>80</v>
      </c>
      <c r="B73" s="3" t="s">
        <v>159</v>
      </c>
      <c r="C73" s="3" t="s">
        <v>170</v>
      </c>
      <c r="D73" s="3" t="s">
        <v>173</v>
      </c>
      <c r="E73" s="3">
        <v>85065</v>
      </c>
      <c r="F73" s="17">
        <v>42505</v>
      </c>
      <c r="G73" s="4">
        <v>3</v>
      </c>
      <c r="H73" s="3"/>
      <c r="I73" s="12" t="s">
        <v>241</v>
      </c>
    </row>
    <row r="74" spans="1:9" x14ac:dyDescent="0.35">
      <c r="A74" s="10" t="s">
        <v>81</v>
      </c>
      <c r="B74" s="3" t="s">
        <v>165</v>
      </c>
      <c r="C74" s="3" t="s">
        <v>170</v>
      </c>
      <c r="D74" s="3" t="s">
        <v>174</v>
      </c>
      <c r="E74" s="3">
        <v>56512</v>
      </c>
      <c r="F74" s="17">
        <v>42512</v>
      </c>
      <c r="G74" s="4"/>
      <c r="H74" s="3" t="s">
        <v>179</v>
      </c>
      <c r="I74" s="12" t="s">
        <v>190</v>
      </c>
    </row>
    <row r="75" spans="1:9" x14ac:dyDescent="0.35">
      <c r="A75" s="10" t="s">
        <v>82</v>
      </c>
      <c r="B75" s="3" t="s">
        <v>161</v>
      </c>
      <c r="C75" s="3" t="s">
        <v>168</v>
      </c>
      <c r="D75" s="3" t="s">
        <v>174</v>
      </c>
      <c r="E75" s="3">
        <v>91101</v>
      </c>
      <c r="F75" s="17">
        <v>42519</v>
      </c>
      <c r="G75" s="4">
        <v>4</v>
      </c>
      <c r="H75" s="3" t="s">
        <v>181</v>
      </c>
      <c r="I75" s="12" t="s">
        <v>234</v>
      </c>
    </row>
    <row r="76" spans="1:9" x14ac:dyDescent="0.35">
      <c r="A76" s="10" t="s">
        <v>83</v>
      </c>
      <c r="B76" s="3" t="s">
        <v>163</v>
      </c>
      <c r="C76" s="3"/>
      <c r="D76" s="3" t="s">
        <v>172</v>
      </c>
      <c r="E76" s="3">
        <v>41243</v>
      </c>
      <c r="F76" s="17">
        <v>42526</v>
      </c>
      <c r="G76" s="4"/>
      <c r="H76" s="3"/>
      <c r="I76" s="12" t="s">
        <v>211</v>
      </c>
    </row>
    <row r="77" spans="1:9" x14ac:dyDescent="0.35">
      <c r="A77" s="10" t="s">
        <v>84</v>
      </c>
      <c r="B77" s="3"/>
      <c r="C77" s="3" t="s">
        <v>168</v>
      </c>
      <c r="D77" s="3" t="s">
        <v>171</v>
      </c>
      <c r="E77" s="3">
        <v>96142</v>
      </c>
      <c r="F77" s="17">
        <v>42533</v>
      </c>
      <c r="G77" s="4">
        <v>1</v>
      </c>
      <c r="H77" s="3" t="s">
        <v>179</v>
      </c>
      <c r="I77" s="12" t="s">
        <v>242</v>
      </c>
    </row>
    <row r="78" spans="1:9" x14ac:dyDescent="0.35">
      <c r="A78" s="10" t="s">
        <v>85</v>
      </c>
      <c r="B78" s="3" t="s">
        <v>159</v>
      </c>
      <c r="C78" s="3" t="s">
        <v>169</v>
      </c>
      <c r="D78" s="3" t="s">
        <v>174</v>
      </c>
      <c r="E78" s="3">
        <v>94301</v>
      </c>
      <c r="F78" s="17">
        <v>42540</v>
      </c>
      <c r="G78" s="4">
        <v>1</v>
      </c>
      <c r="H78" s="3" t="s">
        <v>180</v>
      </c>
      <c r="I78" s="12" t="s">
        <v>223</v>
      </c>
    </row>
    <row r="79" spans="1:9" x14ac:dyDescent="0.35">
      <c r="A79" s="10" t="s">
        <v>86</v>
      </c>
      <c r="B79" s="3" t="s">
        <v>162</v>
      </c>
      <c r="C79" s="3"/>
      <c r="D79" s="3" t="s">
        <v>175</v>
      </c>
      <c r="E79" s="3">
        <v>69166</v>
      </c>
      <c r="F79" s="17">
        <v>42547</v>
      </c>
      <c r="G79" s="4">
        <v>1</v>
      </c>
      <c r="H79" s="3" t="s">
        <v>181</v>
      </c>
      <c r="I79" s="12" t="s">
        <v>243</v>
      </c>
    </row>
    <row r="80" spans="1:9" x14ac:dyDescent="0.35">
      <c r="A80" s="10" t="s">
        <v>87</v>
      </c>
      <c r="B80" s="3" t="s">
        <v>163</v>
      </c>
      <c r="C80" s="3"/>
      <c r="D80" s="3" t="s">
        <v>175</v>
      </c>
      <c r="E80" s="3">
        <v>78245</v>
      </c>
      <c r="F80" s="17">
        <v>42554</v>
      </c>
      <c r="G80" s="4">
        <v>2</v>
      </c>
      <c r="H80" s="3"/>
      <c r="I80" s="12" t="s">
        <v>244</v>
      </c>
    </row>
    <row r="81" spans="1:9" x14ac:dyDescent="0.35">
      <c r="A81" s="10" t="s">
        <v>88</v>
      </c>
      <c r="B81" s="3" t="s">
        <v>164</v>
      </c>
      <c r="C81" s="3" t="s">
        <v>168</v>
      </c>
      <c r="D81" s="3" t="s">
        <v>173</v>
      </c>
      <c r="E81" s="3">
        <v>66079</v>
      </c>
      <c r="F81" s="17">
        <v>42561</v>
      </c>
      <c r="G81" s="4">
        <v>2</v>
      </c>
      <c r="H81" s="3" t="s">
        <v>179</v>
      </c>
      <c r="I81" s="12" t="s">
        <v>245</v>
      </c>
    </row>
    <row r="82" spans="1:9" x14ac:dyDescent="0.35">
      <c r="A82" s="10" t="s">
        <v>89</v>
      </c>
      <c r="B82" s="3" t="s">
        <v>159</v>
      </c>
      <c r="C82" s="3" t="s">
        <v>170</v>
      </c>
      <c r="D82" s="3" t="s">
        <v>174</v>
      </c>
      <c r="E82" s="3">
        <f>IF(ISNUMBER(A82),A82,66280)</f>
        <v>66280</v>
      </c>
      <c r="F82" s="17"/>
      <c r="G82" s="4"/>
      <c r="H82" s="3"/>
      <c r="I82" s="12" t="s">
        <v>208</v>
      </c>
    </row>
    <row r="83" spans="1:9" x14ac:dyDescent="0.35">
      <c r="A83" s="10" t="s">
        <v>90</v>
      </c>
      <c r="B83" s="3" t="s">
        <v>162</v>
      </c>
      <c r="C83" s="3" t="s">
        <v>168</v>
      </c>
      <c r="D83" s="3" t="s">
        <v>173</v>
      </c>
      <c r="E83" s="3">
        <v>95621</v>
      </c>
      <c r="F83" s="17">
        <v>42575</v>
      </c>
      <c r="G83" s="4">
        <v>3</v>
      </c>
      <c r="H83" s="3" t="s">
        <v>181</v>
      </c>
      <c r="I83" s="12" t="s">
        <v>246</v>
      </c>
    </row>
    <row r="84" spans="1:9" x14ac:dyDescent="0.35">
      <c r="A84" s="10" t="s">
        <v>91</v>
      </c>
      <c r="B84" s="3" t="s">
        <v>159</v>
      </c>
      <c r="C84" s="3" t="s">
        <v>169</v>
      </c>
      <c r="D84" s="3" t="s">
        <v>175</v>
      </c>
      <c r="E84" s="3">
        <v>42262</v>
      </c>
      <c r="F84" s="17">
        <v>42582</v>
      </c>
      <c r="G84" s="4">
        <v>1</v>
      </c>
      <c r="H84" s="3"/>
      <c r="I84" s="12" t="s">
        <v>247</v>
      </c>
    </row>
    <row r="85" spans="1:9" x14ac:dyDescent="0.35">
      <c r="A85" s="10" t="s">
        <v>92</v>
      </c>
      <c r="B85" s="3" t="s">
        <v>163</v>
      </c>
      <c r="C85" s="3" t="s">
        <v>168</v>
      </c>
      <c r="D85" s="3" t="s">
        <v>174</v>
      </c>
      <c r="E85" s="3">
        <v>99621</v>
      </c>
      <c r="F85" s="17">
        <v>42589</v>
      </c>
      <c r="G85" s="4"/>
      <c r="H85" s="3" t="s">
        <v>179</v>
      </c>
      <c r="I85" s="12" t="s">
        <v>248</v>
      </c>
    </row>
    <row r="86" spans="1:9" x14ac:dyDescent="0.35">
      <c r="A86" s="10" t="s">
        <v>93</v>
      </c>
      <c r="B86" s="3" t="s">
        <v>161</v>
      </c>
      <c r="C86" s="3" t="s">
        <v>170</v>
      </c>
      <c r="D86" s="3" t="s">
        <v>174</v>
      </c>
      <c r="E86" s="3">
        <v>44682</v>
      </c>
      <c r="F86" s="17">
        <v>42596</v>
      </c>
      <c r="G86" s="4">
        <v>4</v>
      </c>
      <c r="H86" s="3" t="s">
        <v>181</v>
      </c>
      <c r="I86" s="12" t="s">
        <v>220</v>
      </c>
    </row>
    <row r="87" spans="1:9" x14ac:dyDescent="0.35">
      <c r="A87" s="10" t="s">
        <v>94</v>
      </c>
      <c r="B87" s="3" t="s">
        <v>164</v>
      </c>
      <c r="C87" s="3" t="s">
        <v>166</v>
      </c>
      <c r="D87" s="3"/>
      <c r="E87" s="3">
        <v>35163</v>
      </c>
      <c r="F87" s="17">
        <v>42603</v>
      </c>
      <c r="G87" s="4">
        <v>5</v>
      </c>
      <c r="H87" s="3" t="s">
        <v>179</v>
      </c>
      <c r="I87" s="12" t="s">
        <v>249</v>
      </c>
    </row>
    <row r="88" spans="1:9" x14ac:dyDescent="0.35">
      <c r="A88" s="10" t="s">
        <v>95</v>
      </c>
      <c r="B88" s="3" t="s">
        <v>164</v>
      </c>
      <c r="C88" s="3" t="s">
        <v>169</v>
      </c>
      <c r="D88" s="3" t="s">
        <v>174</v>
      </c>
      <c r="E88" s="3">
        <v>33483</v>
      </c>
      <c r="F88" s="17">
        <v>42610</v>
      </c>
      <c r="G88" s="4">
        <v>4</v>
      </c>
      <c r="H88" s="3" t="s">
        <v>180</v>
      </c>
      <c r="I88" s="12" t="s">
        <v>250</v>
      </c>
    </row>
    <row r="89" spans="1:9" x14ac:dyDescent="0.35">
      <c r="A89" s="10" t="s">
        <v>96</v>
      </c>
      <c r="B89" s="3" t="s">
        <v>163</v>
      </c>
      <c r="C89" s="3" t="s">
        <v>167</v>
      </c>
      <c r="D89" s="3" t="s">
        <v>172</v>
      </c>
      <c r="E89" s="3">
        <v>55303</v>
      </c>
      <c r="F89" s="17">
        <v>42617</v>
      </c>
      <c r="G89" s="4">
        <v>4</v>
      </c>
      <c r="H89" s="3" t="s">
        <v>180</v>
      </c>
      <c r="I89" s="12" t="s">
        <v>203</v>
      </c>
    </row>
    <row r="90" spans="1:9" x14ac:dyDescent="0.35">
      <c r="A90" s="10" t="s">
        <v>97</v>
      </c>
      <c r="B90" s="3" t="s">
        <v>164</v>
      </c>
      <c r="C90" s="3" t="s">
        <v>169</v>
      </c>
      <c r="D90" s="3"/>
      <c r="E90" s="3">
        <v>63434</v>
      </c>
      <c r="F90" s="17">
        <v>42624</v>
      </c>
      <c r="G90" s="4">
        <v>3</v>
      </c>
      <c r="H90" s="3"/>
      <c r="I90" s="12" t="s">
        <v>251</v>
      </c>
    </row>
    <row r="91" spans="1:9" x14ac:dyDescent="0.35">
      <c r="A91" s="10" t="s">
        <v>98</v>
      </c>
      <c r="B91" s="3" t="s">
        <v>162</v>
      </c>
      <c r="C91" s="3"/>
      <c r="D91" s="3" t="s">
        <v>176</v>
      </c>
      <c r="E91" s="3">
        <v>38830</v>
      </c>
      <c r="F91" s="17">
        <v>42631</v>
      </c>
      <c r="G91" s="4">
        <v>3</v>
      </c>
      <c r="H91" s="3" t="s">
        <v>179</v>
      </c>
      <c r="I91" s="12" t="s">
        <v>203</v>
      </c>
    </row>
    <row r="92" spans="1:9" x14ac:dyDescent="0.35">
      <c r="A92" s="10" t="s">
        <v>99</v>
      </c>
      <c r="B92" s="3"/>
      <c r="C92" s="3" t="s">
        <v>170</v>
      </c>
      <c r="D92" s="3" t="s">
        <v>175</v>
      </c>
      <c r="E92" s="3">
        <v>50741</v>
      </c>
      <c r="F92" s="17">
        <v>42638</v>
      </c>
      <c r="G92" s="4">
        <v>3</v>
      </c>
      <c r="H92" s="3" t="s">
        <v>178</v>
      </c>
      <c r="I92" s="12" t="s">
        <v>240</v>
      </c>
    </row>
    <row r="93" spans="1:9" x14ac:dyDescent="0.35">
      <c r="A93" s="10" t="s">
        <v>100</v>
      </c>
      <c r="B93" s="3" t="s">
        <v>160</v>
      </c>
      <c r="C93" s="3" t="s">
        <v>167</v>
      </c>
      <c r="D93" s="3" t="s">
        <v>176</v>
      </c>
      <c r="E93" s="3">
        <v>69420</v>
      </c>
      <c r="F93" s="17">
        <v>42645</v>
      </c>
      <c r="G93" s="4">
        <v>1</v>
      </c>
      <c r="H93" s="3" t="s">
        <v>180</v>
      </c>
      <c r="I93" s="12" t="s">
        <v>225</v>
      </c>
    </row>
    <row r="94" spans="1:9" x14ac:dyDescent="0.35">
      <c r="A94" s="10" t="s">
        <v>101</v>
      </c>
      <c r="B94" s="3" t="s">
        <v>162</v>
      </c>
      <c r="C94" s="3" t="s">
        <v>169</v>
      </c>
      <c r="D94" s="3"/>
      <c r="E94" s="3">
        <v>80588</v>
      </c>
      <c r="F94" s="17">
        <v>42652</v>
      </c>
      <c r="G94" s="4">
        <v>5</v>
      </c>
      <c r="H94" s="3" t="s">
        <v>180</v>
      </c>
      <c r="I94" s="12" t="s">
        <v>216</v>
      </c>
    </row>
    <row r="95" spans="1:9" x14ac:dyDescent="0.35">
      <c r="A95" s="10" t="s">
        <v>102</v>
      </c>
      <c r="B95" s="3" t="s">
        <v>160</v>
      </c>
      <c r="C95" s="3"/>
      <c r="D95" s="3" t="s">
        <v>173</v>
      </c>
      <c r="E95" s="3">
        <v>76238</v>
      </c>
      <c r="F95" s="17">
        <v>42659</v>
      </c>
      <c r="G95" s="4">
        <v>4</v>
      </c>
      <c r="H95" s="3" t="s">
        <v>180</v>
      </c>
      <c r="I95" s="12" t="s">
        <v>252</v>
      </c>
    </row>
    <row r="96" spans="1:9" x14ac:dyDescent="0.35">
      <c r="A96" s="10" t="s">
        <v>103</v>
      </c>
      <c r="B96" s="3" t="s">
        <v>165</v>
      </c>
      <c r="C96" s="3" t="s">
        <v>169</v>
      </c>
      <c r="D96" s="3" t="s">
        <v>174</v>
      </c>
      <c r="E96" s="3">
        <v>33264</v>
      </c>
      <c r="F96" s="17">
        <v>42666</v>
      </c>
      <c r="G96" s="4"/>
      <c r="H96" s="3" t="s">
        <v>181</v>
      </c>
      <c r="I96" s="12" t="s">
        <v>253</v>
      </c>
    </row>
    <row r="97" spans="1:9" x14ac:dyDescent="0.35">
      <c r="A97" s="10" t="s">
        <v>104</v>
      </c>
      <c r="B97" s="3" t="s">
        <v>160</v>
      </c>
      <c r="C97" s="3" t="s">
        <v>166</v>
      </c>
      <c r="D97" s="3" t="s">
        <v>176</v>
      </c>
      <c r="E97" s="3">
        <v>96101</v>
      </c>
      <c r="F97" s="17">
        <v>42673</v>
      </c>
      <c r="G97" s="4"/>
      <c r="H97" s="3" t="s">
        <v>179</v>
      </c>
      <c r="I97" s="12" t="s">
        <v>254</v>
      </c>
    </row>
    <row r="98" spans="1:9" x14ac:dyDescent="0.35">
      <c r="A98" s="10" t="s">
        <v>105</v>
      </c>
      <c r="B98" s="3" t="s">
        <v>162</v>
      </c>
      <c r="C98" s="3" t="s">
        <v>166</v>
      </c>
      <c r="D98" s="3" t="s">
        <v>173</v>
      </c>
      <c r="E98" s="3">
        <v>72939</v>
      </c>
      <c r="F98" s="17">
        <v>42680</v>
      </c>
      <c r="G98" s="4">
        <v>3</v>
      </c>
      <c r="H98" s="3"/>
      <c r="I98" s="12" t="s">
        <v>255</v>
      </c>
    </row>
    <row r="99" spans="1:9" x14ac:dyDescent="0.35">
      <c r="A99" s="10" t="s">
        <v>106</v>
      </c>
      <c r="B99" s="3" t="s">
        <v>163</v>
      </c>
      <c r="C99" s="3" t="s">
        <v>167</v>
      </c>
      <c r="D99" s="3" t="s">
        <v>172</v>
      </c>
      <c r="E99" s="3">
        <v>89333</v>
      </c>
      <c r="F99" s="17">
        <v>42687</v>
      </c>
      <c r="G99" s="4">
        <v>1</v>
      </c>
      <c r="H99" s="3" t="s">
        <v>180</v>
      </c>
      <c r="I99" s="12" t="s">
        <v>256</v>
      </c>
    </row>
    <row r="100" spans="1:9" x14ac:dyDescent="0.35">
      <c r="A100" s="10" t="s">
        <v>107</v>
      </c>
      <c r="B100" s="3" t="s">
        <v>165</v>
      </c>
      <c r="C100" s="3" t="s">
        <v>169</v>
      </c>
      <c r="D100" s="3" t="s">
        <v>176</v>
      </c>
      <c r="E100" s="3">
        <v>70470</v>
      </c>
      <c r="F100" s="17">
        <v>42694</v>
      </c>
      <c r="G100" s="4"/>
      <c r="H100" s="3" t="s">
        <v>180</v>
      </c>
      <c r="I100" s="12" t="s">
        <v>257</v>
      </c>
    </row>
    <row r="101" spans="1:9" x14ac:dyDescent="0.35">
      <c r="A101" s="10" t="s">
        <v>108</v>
      </c>
      <c r="B101" s="3" t="s">
        <v>159</v>
      </c>
      <c r="C101" s="3" t="s">
        <v>170</v>
      </c>
      <c r="D101" s="3" t="s">
        <v>173</v>
      </c>
      <c r="E101" s="3">
        <v>70096</v>
      </c>
      <c r="F101" s="17">
        <v>42701</v>
      </c>
      <c r="G101" s="4">
        <v>4</v>
      </c>
      <c r="H101" s="3" t="s">
        <v>180</v>
      </c>
      <c r="I101" s="12" t="s">
        <v>258</v>
      </c>
    </row>
    <row r="102" spans="1:9" x14ac:dyDescent="0.35">
      <c r="A102" s="10" t="s">
        <v>109</v>
      </c>
      <c r="B102" s="3" t="s">
        <v>165</v>
      </c>
      <c r="C102" s="3" t="s">
        <v>170</v>
      </c>
      <c r="D102" s="3" t="s">
        <v>171</v>
      </c>
      <c r="E102" s="3">
        <f>IF(ISNUMBER(A102),A102,66280)</f>
        <v>66280</v>
      </c>
      <c r="F102" s="17">
        <v>42708</v>
      </c>
      <c r="G102" s="4">
        <v>2</v>
      </c>
      <c r="H102" s="3" t="s">
        <v>179</v>
      </c>
      <c r="I102" s="12" t="s">
        <v>259</v>
      </c>
    </row>
    <row r="103" spans="1:9" x14ac:dyDescent="0.35">
      <c r="A103" s="10" t="s">
        <v>110</v>
      </c>
      <c r="B103" s="3" t="s">
        <v>165</v>
      </c>
      <c r="C103" s="3" t="s">
        <v>169</v>
      </c>
      <c r="D103" s="3" t="s">
        <v>172</v>
      </c>
      <c r="E103" s="3">
        <v>66503</v>
      </c>
      <c r="F103" s="17">
        <v>42715</v>
      </c>
      <c r="G103" s="4"/>
      <c r="H103" s="3" t="s">
        <v>180</v>
      </c>
      <c r="I103" s="12" t="s">
        <v>200</v>
      </c>
    </row>
    <row r="104" spans="1:9" x14ac:dyDescent="0.35">
      <c r="A104" s="10" t="s">
        <v>111</v>
      </c>
      <c r="B104" s="3" t="s">
        <v>160</v>
      </c>
      <c r="C104" s="3" t="s">
        <v>167</v>
      </c>
      <c r="D104" s="3" t="s">
        <v>172</v>
      </c>
      <c r="E104" s="3">
        <v>42096</v>
      </c>
      <c r="F104" s="17">
        <v>42722</v>
      </c>
      <c r="G104" s="4"/>
      <c r="H104" s="3" t="s">
        <v>181</v>
      </c>
      <c r="I104" s="12" t="s">
        <v>260</v>
      </c>
    </row>
    <row r="105" spans="1:9" x14ac:dyDescent="0.35">
      <c r="A105" s="10" t="s">
        <v>112</v>
      </c>
      <c r="B105" s="3" t="s">
        <v>160</v>
      </c>
      <c r="C105" s="3" t="s">
        <v>170</v>
      </c>
      <c r="D105" s="3"/>
      <c r="E105" s="3">
        <v>79145</v>
      </c>
      <c r="F105" s="17">
        <v>42729</v>
      </c>
      <c r="G105" s="4">
        <v>5</v>
      </c>
      <c r="H105" s="3" t="s">
        <v>179</v>
      </c>
      <c r="I105" s="12" t="s">
        <v>223</v>
      </c>
    </row>
    <row r="106" spans="1:9" x14ac:dyDescent="0.35">
      <c r="A106" s="10" t="s">
        <v>113</v>
      </c>
      <c r="B106" s="3" t="s">
        <v>162</v>
      </c>
      <c r="C106" s="3"/>
      <c r="D106" s="3" t="s">
        <v>176</v>
      </c>
      <c r="E106" s="3">
        <v>61556</v>
      </c>
      <c r="F106" s="17">
        <v>42736</v>
      </c>
      <c r="G106" s="4">
        <v>1</v>
      </c>
      <c r="H106" s="3"/>
      <c r="I106" s="12" t="s">
        <v>259</v>
      </c>
    </row>
    <row r="107" spans="1:9" x14ac:dyDescent="0.35">
      <c r="A107" s="10" t="s">
        <v>114</v>
      </c>
      <c r="B107" s="3"/>
      <c r="C107" s="3" t="s">
        <v>167</v>
      </c>
      <c r="D107" s="3" t="s">
        <v>175</v>
      </c>
      <c r="E107" s="3">
        <v>87963</v>
      </c>
      <c r="F107" s="17">
        <v>42743</v>
      </c>
      <c r="G107" s="4">
        <v>3</v>
      </c>
      <c r="H107" s="3" t="s">
        <v>179</v>
      </c>
      <c r="I107" s="12" t="s">
        <v>182</v>
      </c>
    </row>
    <row r="108" spans="1:9" x14ac:dyDescent="0.35">
      <c r="A108" s="10" t="s">
        <v>115</v>
      </c>
      <c r="B108" s="3" t="s">
        <v>159</v>
      </c>
      <c r="C108" s="3" t="s">
        <v>169</v>
      </c>
      <c r="D108" s="3"/>
      <c r="E108" s="3">
        <v>48325</v>
      </c>
      <c r="F108" s="17">
        <v>42750</v>
      </c>
      <c r="G108" s="4"/>
      <c r="H108" s="3" t="s">
        <v>180</v>
      </c>
      <c r="I108" s="12" t="s">
        <v>261</v>
      </c>
    </row>
    <row r="109" spans="1:9" x14ac:dyDescent="0.35">
      <c r="A109" s="10" t="s">
        <v>116</v>
      </c>
      <c r="B109" s="3" t="s">
        <v>163</v>
      </c>
      <c r="C109" s="3" t="s">
        <v>170</v>
      </c>
      <c r="D109" s="3" t="s">
        <v>176</v>
      </c>
      <c r="E109" s="3">
        <v>86412</v>
      </c>
      <c r="F109" s="17">
        <v>42757</v>
      </c>
      <c r="G109" s="4">
        <v>2</v>
      </c>
      <c r="H109" s="3" t="s">
        <v>181</v>
      </c>
      <c r="I109" s="12" t="s">
        <v>202</v>
      </c>
    </row>
    <row r="110" spans="1:9" x14ac:dyDescent="0.35">
      <c r="A110" s="10" t="s">
        <v>117</v>
      </c>
      <c r="B110" s="3" t="s">
        <v>163</v>
      </c>
      <c r="C110" s="3" t="s">
        <v>167</v>
      </c>
      <c r="D110" s="3"/>
      <c r="E110" s="3">
        <v>66761</v>
      </c>
      <c r="F110" s="17">
        <v>42764</v>
      </c>
      <c r="G110" s="4">
        <v>1</v>
      </c>
      <c r="H110" s="3"/>
      <c r="I110" s="12" t="s">
        <v>262</v>
      </c>
    </row>
    <row r="111" spans="1:9" x14ac:dyDescent="0.35">
      <c r="A111" s="10" t="s">
        <v>118</v>
      </c>
      <c r="B111" s="3" t="s">
        <v>162</v>
      </c>
      <c r="C111" s="3"/>
      <c r="D111" s="3" t="s">
        <v>174</v>
      </c>
      <c r="E111" s="3">
        <v>88850</v>
      </c>
      <c r="F111" s="17">
        <v>42771</v>
      </c>
      <c r="G111" s="4">
        <v>1</v>
      </c>
      <c r="H111" s="3" t="s">
        <v>181</v>
      </c>
      <c r="I111" s="12" t="s">
        <v>263</v>
      </c>
    </row>
    <row r="112" spans="1:9" x14ac:dyDescent="0.35">
      <c r="A112" s="10" t="s">
        <v>119</v>
      </c>
      <c r="B112" s="3" t="s">
        <v>164</v>
      </c>
      <c r="C112" s="3" t="s">
        <v>168</v>
      </c>
      <c r="D112" s="3" t="s">
        <v>174</v>
      </c>
      <c r="E112" s="3">
        <v>31293</v>
      </c>
      <c r="F112" s="17"/>
      <c r="G112" s="4">
        <v>2</v>
      </c>
      <c r="H112" s="3" t="s">
        <v>181</v>
      </c>
      <c r="I112" s="12" t="s">
        <v>264</v>
      </c>
    </row>
    <row r="113" spans="1:9" x14ac:dyDescent="0.35">
      <c r="A113" s="10" t="s">
        <v>120</v>
      </c>
      <c r="B113" s="3" t="s">
        <v>164</v>
      </c>
      <c r="C113" s="3" t="s">
        <v>169</v>
      </c>
      <c r="D113" s="3" t="s">
        <v>173</v>
      </c>
      <c r="E113" s="3">
        <v>34306</v>
      </c>
      <c r="F113" s="17">
        <v>42785</v>
      </c>
      <c r="G113" s="4">
        <v>5</v>
      </c>
      <c r="H113" s="3" t="s">
        <v>181</v>
      </c>
      <c r="I113" s="12" t="s">
        <v>239</v>
      </c>
    </row>
    <row r="114" spans="1:9" x14ac:dyDescent="0.35">
      <c r="A114" s="10" t="s">
        <v>121</v>
      </c>
      <c r="B114" s="3" t="s">
        <v>159</v>
      </c>
      <c r="C114" s="3" t="s">
        <v>166</v>
      </c>
      <c r="D114" s="3" t="s">
        <v>174</v>
      </c>
      <c r="E114" s="3">
        <v>78330</v>
      </c>
      <c r="F114" s="17">
        <v>42792</v>
      </c>
      <c r="G114" s="4"/>
      <c r="H114" s="3" t="s">
        <v>179</v>
      </c>
      <c r="I114" s="12" t="s">
        <v>258</v>
      </c>
    </row>
    <row r="115" spans="1:9" x14ac:dyDescent="0.35">
      <c r="A115" s="10" t="s">
        <v>122</v>
      </c>
      <c r="B115" s="3" t="s">
        <v>160</v>
      </c>
      <c r="C115" s="3" t="s">
        <v>169</v>
      </c>
      <c r="D115" s="3" t="s">
        <v>173</v>
      </c>
      <c r="E115" s="3">
        <v>47653</v>
      </c>
      <c r="F115" s="17">
        <v>42799</v>
      </c>
      <c r="G115" s="4">
        <v>1</v>
      </c>
      <c r="H115" s="3" t="s">
        <v>180</v>
      </c>
      <c r="I115" s="12" t="s">
        <v>265</v>
      </c>
    </row>
    <row r="116" spans="1:9" x14ac:dyDescent="0.35">
      <c r="A116" s="10" t="s">
        <v>123</v>
      </c>
      <c r="B116" s="3" t="s">
        <v>159</v>
      </c>
      <c r="C116" s="3" t="s">
        <v>170</v>
      </c>
      <c r="D116" s="3" t="s">
        <v>175</v>
      </c>
      <c r="E116" s="3">
        <v>44627</v>
      </c>
      <c r="F116" s="17">
        <v>42806</v>
      </c>
      <c r="G116" s="4">
        <v>4</v>
      </c>
      <c r="H116" s="3"/>
      <c r="I116" s="12" t="s">
        <v>235</v>
      </c>
    </row>
    <row r="117" spans="1:9" x14ac:dyDescent="0.35">
      <c r="A117" s="10" t="s">
        <v>124</v>
      </c>
      <c r="B117" s="3" t="s">
        <v>165</v>
      </c>
      <c r="C117" s="3" t="s">
        <v>167</v>
      </c>
      <c r="D117" s="3" t="s">
        <v>172</v>
      </c>
      <c r="E117" s="3">
        <v>92343</v>
      </c>
      <c r="F117" s="17">
        <v>42813</v>
      </c>
      <c r="G117" s="4">
        <v>4</v>
      </c>
      <c r="H117" s="3" t="s">
        <v>181</v>
      </c>
      <c r="I117" s="12" t="s">
        <v>203</v>
      </c>
    </row>
    <row r="118" spans="1:9" x14ac:dyDescent="0.35">
      <c r="A118" s="10" t="s">
        <v>125</v>
      </c>
      <c r="B118" s="3" t="s">
        <v>165</v>
      </c>
      <c r="C118" s="3" t="s">
        <v>170</v>
      </c>
      <c r="D118" s="3" t="s">
        <v>176</v>
      </c>
      <c r="E118" s="3">
        <v>38837</v>
      </c>
      <c r="F118" s="17">
        <v>42820</v>
      </c>
      <c r="G118" s="4">
        <v>5</v>
      </c>
      <c r="H118" s="3" t="s">
        <v>181</v>
      </c>
      <c r="I118" s="12" t="s">
        <v>239</v>
      </c>
    </row>
    <row r="119" spans="1:9" x14ac:dyDescent="0.35">
      <c r="A119" s="10" t="s">
        <v>126</v>
      </c>
      <c r="B119" s="3" t="s">
        <v>165</v>
      </c>
      <c r="C119" s="3" t="s">
        <v>170</v>
      </c>
      <c r="D119" s="3"/>
      <c r="E119" s="3">
        <v>73483</v>
      </c>
      <c r="F119" s="17">
        <v>42827</v>
      </c>
      <c r="G119" s="4">
        <v>1</v>
      </c>
      <c r="H119" s="3"/>
      <c r="I119" s="12" t="s">
        <v>266</v>
      </c>
    </row>
    <row r="120" spans="1:9" x14ac:dyDescent="0.35">
      <c r="A120" s="10" t="s">
        <v>127</v>
      </c>
      <c r="B120" s="3" t="s">
        <v>164</v>
      </c>
      <c r="C120" s="3" t="s">
        <v>168</v>
      </c>
      <c r="D120" s="3" t="s">
        <v>174</v>
      </c>
      <c r="E120" s="3">
        <v>95032</v>
      </c>
      <c r="F120" s="17">
        <v>42834</v>
      </c>
      <c r="G120" s="4">
        <v>3</v>
      </c>
      <c r="H120" s="3"/>
      <c r="I120" s="12" t="s">
        <v>267</v>
      </c>
    </row>
    <row r="121" spans="1:9" x14ac:dyDescent="0.35">
      <c r="A121" s="10" t="s">
        <v>128</v>
      </c>
      <c r="B121" s="3" t="s">
        <v>159</v>
      </c>
      <c r="C121" s="3" t="s">
        <v>168</v>
      </c>
      <c r="D121" s="3" t="s">
        <v>176</v>
      </c>
      <c r="E121" s="3">
        <v>44358</v>
      </c>
      <c r="F121" s="17">
        <v>42841</v>
      </c>
      <c r="G121" s="4"/>
      <c r="H121" s="3" t="s">
        <v>181</v>
      </c>
      <c r="I121" s="12" t="s">
        <v>200</v>
      </c>
    </row>
    <row r="122" spans="1:9" x14ac:dyDescent="0.35">
      <c r="A122" s="10" t="s">
        <v>129</v>
      </c>
      <c r="B122" s="3"/>
      <c r="C122" s="3" t="s">
        <v>169</v>
      </c>
      <c r="D122" s="3" t="s">
        <v>173</v>
      </c>
      <c r="E122" s="3">
        <f>IF(ISNUMBER(A122),A122,66280)</f>
        <v>66280</v>
      </c>
      <c r="F122" s="17"/>
      <c r="G122" s="4">
        <v>5</v>
      </c>
      <c r="H122" s="3" t="s">
        <v>178</v>
      </c>
      <c r="I122" s="12" t="s">
        <v>268</v>
      </c>
    </row>
    <row r="123" spans="1:9" x14ac:dyDescent="0.35">
      <c r="A123" s="10" t="s">
        <v>130</v>
      </c>
      <c r="B123" s="3" t="s">
        <v>164</v>
      </c>
      <c r="C123" s="3" t="s">
        <v>168</v>
      </c>
      <c r="D123" s="3" t="s">
        <v>173</v>
      </c>
      <c r="E123" s="3">
        <v>45676</v>
      </c>
      <c r="F123" s="17">
        <v>42855</v>
      </c>
      <c r="G123" s="4">
        <v>2</v>
      </c>
      <c r="H123" s="3"/>
      <c r="I123" s="12" t="s">
        <v>269</v>
      </c>
    </row>
    <row r="124" spans="1:9" x14ac:dyDescent="0.35">
      <c r="A124" s="10" t="s">
        <v>131</v>
      </c>
      <c r="B124" s="3" t="s">
        <v>165</v>
      </c>
      <c r="C124" s="3" t="s">
        <v>168</v>
      </c>
      <c r="D124" s="3" t="s">
        <v>172</v>
      </c>
      <c r="E124" s="3">
        <v>52036</v>
      </c>
      <c r="F124" s="17">
        <v>42862</v>
      </c>
      <c r="G124" s="4">
        <v>3</v>
      </c>
      <c r="H124" s="3" t="s">
        <v>180</v>
      </c>
      <c r="I124" s="12" t="s">
        <v>270</v>
      </c>
    </row>
    <row r="125" spans="1:9" x14ac:dyDescent="0.35">
      <c r="A125" s="10" t="s">
        <v>132</v>
      </c>
      <c r="B125" s="3" t="s">
        <v>162</v>
      </c>
      <c r="C125" s="3"/>
      <c r="D125" s="3" t="s">
        <v>172</v>
      </c>
      <c r="E125" s="3">
        <v>30357</v>
      </c>
      <c r="F125" s="17">
        <v>42869</v>
      </c>
      <c r="G125" s="4">
        <v>5</v>
      </c>
      <c r="H125" s="3" t="s">
        <v>180</v>
      </c>
      <c r="I125" s="12" t="s">
        <v>248</v>
      </c>
    </row>
    <row r="126" spans="1:9" x14ac:dyDescent="0.35">
      <c r="A126" s="10" t="s">
        <v>133</v>
      </c>
      <c r="B126" s="3" t="s">
        <v>161</v>
      </c>
      <c r="C126" s="3" t="s">
        <v>169</v>
      </c>
      <c r="D126" s="3"/>
      <c r="E126" s="3">
        <v>60034</v>
      </c>
      <c r="F126" s="17">
        <v>42876</v>
      </c>
      <c r="G126" s="4">
        <v>1</v>
      </c>
      <c r="H126" s="3" t="s">
        <v>181</v>
      </c>
      <c r="I126" s="12" t="s">
        <v>271</v>
      </c>
    </row>
    <row r="127" spans="1:9" x14ac:dyDescent="0.35">
      <c r="A127" s="10" t="s">
        <v>134</v>
      </c>
      <c r="B127" s="3" t="s">
        <v>161</v>
      </c>
      <c r="C127" s="3" t="s">
        <v>166</v>
      </c>
      <c r="D127" s="3" t="s">
        <v>171</v>
      </c>
      <c r="E127" s="3">
        <v>90019</v>
      </c>
      <c r="F127" s="17">
        <v>42883</v>
      </c>
      <c r="G127" s="4">
        <v>5</v>
      </c>
      <c r="H127" s="3"/>
      <c r="I127" s="12" t="s">
        <v>272</v>
      </c>
    </row>
    <row r="128" spans="1:9" x14ac:dyDescent="0.35">
      <c r="A128" s="10" t="s">
        <v>135</v>
      </c>
      <c r="B128" s="3" t="s">
        <v>165</v>
      </c>
      <c r="C128" s="3"/>
      <c r="D128" s="3" t="s">
        <v>172</v>
      </c>
      <c r="E128" s="3">
        <v>71494</v>
      </c>
      <c r="F128" s="17">
        <v>42890</v>
      </c>
      <c r="G128" s="4">
        <v>3</v>
      </c>
      <c r="H128" s="3" t="s">
        <v>180</v>
      </c>
      <c r="I128" s="12" t="s">
        <v>273</v>
      </c>
    </row>
    <row r="129" spans="1:9" x14ac:dyDescent="0.35">
      <c r="A129" s="10" t="s">
        <v>136</v>
      </c>
      <c r="B129" s="3" t="s">
        <v>161</v>
      </c>
      <c r="C129" s="3" t="s">
        <v>166</v>
      </c>
      <c r="D129" s="3" t="s">
        <v>173</v>
      </c>
      <c r="E129" s="3">
        <v>91953</v>
      </c>
      <c r="F129" s="17">
        <v>42897</v>
      </c>
      <c r="G129" s="4">
        <v>2</v>
      </c>
      <c r="H129" s="3" t="s">
        <v>180</v>
      </c>
      <c r="I129" s="12" t="s">
        <v>209</v>
      </c>
    </row>
    <row r="130" spans="1:9" x14ac:dyDescent="0.35">
      <c r="A130" s="10" t="s">
        <v>137</v>
      </c>
      <c r="B130" s="3" t="s">
        <v>164</v>
      </c>
      <c r="C130" s="3" t="s">
        <v>168</v>
      </c>
      <c r="D130" s="3" t="s">
        <v>173</v>
      </c>
      <c r="E130" s="3">
        <v>30402</v>
      </c>
      <c r="F130" s="17">
        <v>42904</v>
      </c>
      <c r="G130" s="4">
        <v>1</v>
      </c>
      <c r="H130" s="3"/>
      <c r="I130" s="12" t="s">
        <v>274</v>
      </c>
    </row>
    <row r="131" spans="1:9" x14ac:dyDescent="0.35">
      <c r="A131" s="10" t="s">
        <v>138</v>
      </c>
      <c r="B131" s="3" t="s">
        <v>165</v>
      </c>
      <c r="C131" s="3"/>
      <c r="D131" s="3" t="s">
        <v>175</v>
      </c>
      <c r="E131" s="3">
        <v>62994</v>
      </c>
      <c r="F131" s="17">
        <v>42911</v>
      </c>
      <c r="G131" s="4"/>
      <c r="H131" s="3"/>
      <c r="I131" s="12" t="s">
        <v>221</v>
      </c>
    </row>
    <row r="132" spans="1:9" x14ac:dyDescent="0.35">
      <c r="A132" s="10" t="s">
        <v>139</v>
      </c>
      <c r="B132" s="3" t="s">
        <v>160</v>
      </c>
      <c r="C132" s="3" t="s">
        <v>168</v>
      </c>
      <c r="D132" s="3" t="s">
        <v>174</v>
      </c>
      <c r="E132" s="3">
        <v>48289</v>
      </c>
      <c r="F132" s="17"/>
      <c r="G132" s="4">
        <v>3</v>
      </c>
      <c r="H132" s="3" t="s">
        <v>180</v>
      </c>
      <c r="I132" s="12" t="s">
        <v>189</v>
      </c>
    </row>
    <row r="133" spans="1:9" x14ac:dyDescent="0.35">
      <c r="A133" s="10" t="s">
        <v>140</v>
      </c>
      <c r="B133" s="3" t="s">
        <v>163</v>
      </c>
      <c r="C133" s="3" t="s">
        <v>170</v>
      </c>
      <c r="D133" s="3" t="s">
        <v>172</v>
      </c>
      <c r="E133" s="3">
        <v>34402</v>
      </c>
      <c r="F133" s="17">
        <v>42925</v>
      </c>
      <c r="G133" s="4">
        <v>3</v>
      </c>
      <c r="H133" s="3" t="s">
        <v>179</v>
      </c>
      <c r="I133" s="12" t="s">
        <v>218</v>
      </c>
    </row>
    <row r="134" spans="1:9" x14ac:dyDescent="0.35">
      <c r="A134" s="10" t="s">
        <v>141</v>
      </c>
      <c r="B134" s="3" t="s">
        <v>159</v>
      </c>
      <c r="C134" s="3" t="s">
        <v>167</v>
      </c>
      <c r="D134" s="3" t="s">
        <v>173</v>
      </c>
      <c r="E134" s="3">
        <v>38678</v>
      </c>
      <c r="F134" s="17">
        <v>42932</v>
      </c>
      <c r="G134" s="4">
        <v>3</v>
      </c>
      <c r="H134" s="3" t="s">
        <v>179</v>
      </c>
      <c r="I134" s="12" t="s">
        <v>275</v>
      </c>
    </row>
    <row r="135" spans="1:9" x14ac:dyDescent="0.35">
      <c r="A135" s="10" t="s">
        <v>142</v>
      </c>
      <c r="B135" s="3" t="s">
        <v>164</v>
      </c>
      <c r="C135" s="3" t="s">
        <v>167</v>
      </c>
      <c r="D135" s="3" t="s">
        <v>172</v>
      </c>
      <c r="E135" s="3">
        <v>45758</v>
      </c>
      <c r="F135" s="17">
        <v>42939</v>
      </c>
      <c r="G135" s="4">
        <v>3</v>
      </c>
      <c r="H135" s="3"/>
      <c r="I135" s="12" t="s">
        <v>264</v>
      </c>
    </row>
    <row r="136" spans="1:9" x14ac:dyDescent="0.35">
      <c r="A136" s="10" t="s">
        <v>143</v>
      </c>
      <c r="B136" s="3" t="s">
        <v>159</v>
      </c>
      <c r="C136" s="3" t="s">
        <v>170</v>
      </c>
      <c r="D136" s="3" t="s">
        <v>174</v>
      </c>
      <c r="E136" s="3">
        <v>62476</v>
      </c>
      <c r="F136" s="17">
        <v>42946</v>
      </c>
      <c r="G136" s="4">
        <v>1</v>
      </c>
      <c r="H136" s="3" t="s">
        <v>179</v>
      </c>
      <c r="I136" s="12" t="s">
        <v>231</v>
      </c>
    </row>
    <row r="137" spans="1:9" x14ac:dyDescent="0.35">
      <c r="A137" s="10" t="s">
        <v>144</v>
      </c>
      <c r="B137" s="3"/>
      <c r="C137" s="3" t="s">
        <v>169</v>
      </c>
      <c r="D137" s="3" t="s">
        <v>175</v>
      </c>
      <c r="E137" s="3">
        <v>39280</v>
      </c>
      <c r="F137" s="17">
        <v>42953</v>
      </c>
      <c r="G137" s="4">
        <v>3</v>
      </c>
      <c r="H137" s="3" t="s">
        <v>181</v>
      </c>
      <c r="I137" s="12" t="s">
        <v>214</v>
      </c>
    </row>
    <row r="138" spans="1:9" x14ac:dyDescent="0.35">
      <c r="A138" s="10" t="s">
        <v>145</v>
      </c>
      <c r="B138" s="3" t="s">
        <v>162</v>
      </c>
      <c r="C138" s="3" t="s">
        <v>166</v>
      </c>
      <c r="D138" s="3" t="s">
        <v>174</v>
      </c>
      <c r="E138" s="3">
        <v>60335</v>
      </c>
      <c r="F138" s="17">
        <v>42960</v>
      </c>
      <c r="G138" s="4">
        <v>4</v>
      </c>
      <c r="H138" s="3" t="s">
        <v>179</v>
      </c>
      <c r="I138" s="12" t="s">
        <v>227</v>
      </c>
    </row>
    <row r="139" spans="1:9" x14ac:dyDescent="0.35">
      <c r="A139" s="10" t="s">
        <v>146</v>
      </c>
      <c r="B139" s="3" t="s">
        <v>164</v>
      </c>
      <c r="C139" s="3" t="s">
        <v>167</v>
      </c>
      <c r="D139" s="3" t="s">
        <v>172</v>
      </c>
      <c r="E139" s="3">
        <v>84968</v>
      </c>
      <c r="F139" s="17">
        <v>42967</v>
      </c>
      <c r="G139" s="4"/>
      <c r="H139" s="3"/>
      <c r="I139" s="12" t="s">
        <v>276</v>
      </c>
    </row>
    <row r="140" spans="1:9" x14ac:dyDescent="0.35">
      <c r="A140" s="10" t="s">
        <v>147</v>
      </c>
      <c r="B140" s="3" t="s">
        <v>164</v>
      </c>
      <c r="C140" s="3" t="s">
        <v>170</v>
      </c>
      <c r="D140" s="3" t="s">
        <v>176</v>
      </c>
      <c r="E140" s="3">
        <v>84750</v>
      </c>
      <c r="F140" s="17">
        <v>42974</v>
      </c>
      <c r="G140" s="4">
        <v>4</v>
      </c>
      <c r="H140" s="3" t="s">
        <v>181</v>
      </c>
      <c r="I140" s="12" t="s">
        <v>195</v>
      </c>
    </row>
    <row r="141" spans="1:9" x14ac:dyDescent="0.35">
      <c r="A141" s="10" t="s">
        <v>148</v>
      </c>
      <c r="B141" s="3" t="s">
        <v>165</v>
      </c>
      <c r="C141" s="3" t="s">
        <v>169</v>
      </c>
      <c r="D141" s="3"/>
      <c r="E141" s="3">
        <v>73348</v>
      </c>
      <c r="F141" s="17">
        <v>42981</v>
      </c>
      <c r="G141" s="4">
        <v>2</v>
      </c>
      <c r="H141" s="3"/>
      <c r="I141" s="12" t="s">
        <v>243</v>
      </c>
    </row>
    <row r="142" spans="1:9" x14ac:dyDescent="0.35">
      <c r="A142" s="10" t="s">
        <v>149</v>
      </c>
      <c r="B142" s="3" t="s">
        <v>164</v>
      </c>
      <c r="C142" s="3" t="s">
        <v>168</v>
      </c>
      <c r="D142" s="3" t="s">
        <v>173</v>
      </c>
      <c r="E142" s="3">
        <f>IF(ISNUMBER(A142),A142,66280)</f>
        <v>66280</v>
      </c>
      <c r="F142" s="17">
        <v>42988</v>
      </c>
      <c r="G142" s="4">
        <v>4</v>
      </c>
      <c r="H142" s="3" t="s">
        <v>179</v>
      </c>
      <c r="I142" s="12" t="s">
        <v>182</v>
      </c>
    </row>
    <row r="143" spans="1:9" x14ac:dyDescent="0.35">
      <c r="A143" s="10" t="s">
        <v>150</v>
      </c>
      <c r="B143" s="3" t="s">
        <v>162</v>
      </c>
      <c r="C143" s="3" t="s">
        <v>170</v>
      </c>
      <c r="D143" s="3" t="s">
        <v>173</v>
      </c>
      <c r="E143" s="3">
        <v>66882</v>
      </c>
      <c r="F143" s="17">
        <v>42995</v>
      </c>
      <c r="G143" s="4">
        <v>5</v>
      </c>
      <c r="H143" s="3" t="s">
        <v>179</v>
      </c>
      <c r="I143" s="12" t="s">
        <v>207</v>
      </c>
    </row>
    <row r="144" spans="1:9" x14ac:dyDescent="0.35">
      <c r="A144" s="10" t="s">
        <v>151</v>
      </c>
      <c r="B144" s="3" t="s">
        <v>160</v>
      </c>
      <c r="C144" s="3" t="s">
        <v>170</v>
      </c>
      <c r="D144" s="3"/>
      <c r="E144" s="3">
        <v>86775</v>
      </c>
      <c r="F144" s="17">
        <v>43002</v>
      </c>
      <c r="G144" s="4">
        <v>3</v>
      </c>
      <c r="H144" s="3" t="s">
        <v>179</v>
      </c>
      <c r="I144" s="12" t="s">
        <v>212</v>
      </c>
    </row>
    <row r="145" spans="1:9" x14ac:dyDescent="0.35">
      <c r="A145" s="10" t="s">
        <v>152</v>
      </c>
      <c r="B145" s="3" t="s">
        <v>164</v>
      </c>
      <c r="C145" s="3" t="s">
        <v>168</v>
      </c>
      <c r="D145" s="3" t="s">
        <v>175</v>
      </c>
      <c r="E145" s="3">
        <v>91620</v>
      </c>
      <c r="F145" s="17">
        <v>43009</v>
      </c>
      <c r="G145" s="4"/>
      <c r="H145" s="3"/>
      <c r="I145" s="12" t="s">
        <v>277</v>
      </c>
    </row>
    <row r="146" spans="1:9" x14ac:dyDescent="0.35">
      <c r="A146" s="10" t="s">
        <v>153</v>
      </c>
      <c r="B146" s="3" t="s">
        <v>159</v>
      </c>
      <c r="C146" s="3"/>
      <c r="D146" s="3"/>
      <c r="E146" s="3">
        <v>94148</v>
      </c>
      <c r="F146" s="17">
        <v>43016</v>
      </c>
      <c r="G146" s="4">
        <v>2</v>
      </c>
      <c r="H146" s="3"/>
      <c r="I146" s="12" t="s">
        <v>278</v>
      </c>
    </row>
    <row r="147" spans="1:9" x14ac:dyDescent="0.35">
      <c r="A147" s="10" t="s">
        <v>154</v>
      </c>
      <c r="B147" s="3" t="s">
        <v>163</v>
      </c>
      <c r="C147" s="3" t="s">
        <v>168</v>
      </c>
      <c r="D147" s="3" t="s">
        <v>176</v>
      </c>
      <c r="E147" s="3">
        <v>35627</v>
      </c>
      <c r="F147" s="17">
        <v>43023</v>
      </c>
      <c r="G147" s="4">
        <v>5</v>
      </c>
      <c r="H147" s="3" t="s">
        <v>181</v>
      </c>
      <c r="I147" s="12" t="s">
        <v>275</v>
      </c>
    </row>
    <row r="148" spans="1:9" x14ac:dyDescent="0.35">
      <c r="A148" s="10" t="s">
        <v>155</v>
      </c>
      <c r="B148" s="3" t="s">
        <v>161</v>
      </c>
      <c r="C148" s="3" t="s">
        <v>170</v>
      </c>
      <c r="D148" s="3" t="s">
        <v>173</v>
      </c>
      <c r="E148" s="3">
        <v>57141</v>
      </c>
      <c r="F148" s="17">
        <v>43030</v>
      </c>
      <c r="G148" s="4">
        <v>2</v>
      </c>
      <c r="H148" s="3"/>
      <c r="I148" s="12" t="s">
        <v>276</v>
      </c>
    </row>
    <row r="149" spans="1:9" x14ac:dyDescent="0.35">
      <c r="A149" s="10" t="s">
        <v>156</v>
      </c>
      <c r="B149" s="3" t="s">
        <v>165</v>
      </c>
      <c r="C149" s="3" t="s">
        <v>168</v>
      </c>
      <c r="D149" s="3" t="s">
        <v>176</v>
      </c>
      <c r="E149" s="3">
        <v>65270</v>
      </c>
      <c r="F149" s="17">
        <v>43037</v>
      </c>
      <c r="G149" s="4">
        <v>1</v>
      </c>
      <c r="H149" s="3"/>
      <c r="I149" s="12" t="s">
        <v>279</v>
      </c>
    </row>
    <row r="150" spans="1:9" x14ac:dyDescent="0.35">
      <c r="A150" s="10" t="s">
        <v>157</v>
      </c>
      <c r="B150" s="3" t="s">
        <v>165</v>
      </c>
      <c r="C150" s="3"/>
      <c r="D150" s="3" t="s">
        <v>175</v>
      </c>
      <c r="E150" s="3">
        <v>67335</v>
      </c>
      <c r="F150" s="17">
        <v>43044</v>
      </c>
      <c r="G150" s="4">
        <v>1</v>
      </c>
      <c r="H150" s="3" t="s">
        <v>179</v>
      </c>
      <c r="I150" s="12" t="s">
        <v>233</v>
      </c>
    </row>
    <row r="151" spans="1:9" x14ac:dyDescent="0.35">
      <c r="A151" s="11" t="s">
        <v>158</v>
      </c>
      <c r="B151" s="8" t="s">
        <v>163</v>
      </c>
      <c r="C151" s="8" t="s">
        <v>170</v>
      </c>
      <c r="D151" s="8" t="s">
        <v>174</v>
      </c>
      <c r="E151" s="8">
        <v>98475</v>
      </c>
      <c r="F151" s="18">
        <v>43051</v>
      </c>
      <c r="G151" s="9">
        <v>5</v>
      </c>
      <c r="H151" s="8" t="s">
        <v>179</v>
      </c>
      <c r="I151" s="13" t="s">
        <v>280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Employee sheet</vt:lpstr>
      <vt:lpstr>Description</vt:lpstr>
      <vt:lpstr>Step2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Selvaraj, Sumathi</dc:creator>
  <cp:lastModifiedBy>Selvaraj, Sumathi</cp:lastModifiedBy>
  <dcterms:created xsi:type="dcterms:W3CDTF">2025-05-31T18:11:07Z</dcterms:created>
  <dcterms:modified xsi:type="dcterms:W3CDTF">2025-11-23T09:40:18Z</dcterms:modified>
</cp:coreProperties>
</file>