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umathi_selvaraj_capgemini_com1/Documents/Documents/Coding Challenges/"/>
    </mc:Choice>
  </mc:AlternateContent>
  <xr:revisionPtr revIDLastSave="27" documentId="8_{718A5CF3-D004-4694-9C9C-855CF016072F}" xr6:coauthVersionLast="47" xr6:coauthVersionMax="47" xr10:uidLastSave="{5DF62D87-398C-4EFF-A7B4-B4551A5A7693}"/>
  <bookViews>
    <workbookView xWindow="-110" yWindow="-110" windowWidth="19420" windowHeight="11500" activeTab="2" xr2:uid="{01A9033E-D944-443C-8CF1-730B7A5BED73}"/>
  </bookViews>
  <sheets>
    <sheet name="Sheet1" sheetId="1" r:id="rId1"/>
    <sheet name="Cleaned data" sheetId="3" r:id="rId2"/>
    <sheet name="Description" sheetId="2" r:id="rId3"/>
  </sheets>
  <definedNames>
    <definedName name="ExternalData_1" localSheetId="1" hidden="1">'Cleaned data'!$A$1:$J$151</definedName>
    <definedName name="ExternalData_1" localSheetId="2" hidden="1">Description!$A$1:$B$6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5" i="1" l="1"/>
  <c r="I154" i="1"/>
  <c r="K152" i="1"/>
  <c r="G139" i="1"/>
  <c r="G145" i="1" s="1"/>
  <c r="G131" i="1"/>
  <c r="G121" i="1"/>
  <c r="G108" i="1"/>
  <c r="G114" i="1" s="1"/>
  <c r="G104" i="1"/>
  <c r="G100" i="1"/>
  <c r="G97" i="1"/>
  <c r="G103" i="1" s="1"/>
  <c r="G96" i="1"/>
  <c r="G85" i="1"/>
  <c r="G76" i="1"/>
  <c r="G82" i="1" s="1"/>
  <c r="G74" i="1"/>
  <c r="G45" i="1"/>
  <c r="G43" i="1"/>
  <c r="G39" i="1"/>
  <c r="G38" i="1"/>
  <c r="G35" i="1"/>
  <c r="G18" i="1"/>
  <c r="G15" i="1"/>
  <c r="G13" i="1"/>
  <c r="G19" i="1" s="1"/>
  <c r="G12" i="1"/>
  <c r="G11" i="1"/>
  <c r="G17" i="1" s="1"/>
  <c r="G10" i="1"/>
  <c r="G16" i="1" s="1"/>
  <c r="G9" i="1"/>
  <c r="G8" i="1"/>
  <c r="G14" i="1" s="1"/>
  <c r="G20" i="1" s="1"/>
  <c r="E82" i="1"/>
  <c r="E142" i="1"/>
  <c r="E102" i="1"/>
  <c r="I156" i="1"/>
  <c r="E62" i="1"/>
  <c r="E42" i="1"/>
  <c r="E2" i="1"/>
  <c r="E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82C4FF-5970-4568-82D9-3CA06D81F546}" keepAlive="1" name="Query - Table14" description="Connection to the 'Table14' query in the workbook." type="5" refreshedVersion="8" background="1" saveData="1">
    <dbPr connection="Provider=Microsoft.Mashup.OleDb.1;Data Source=$Workbook$;Location=Table14;Extended Properties=&quot;&quot;" command="SELECT * FROM [Table14]"/>
  </connection>
  <connection id="2" xr16:uid="{AF925817-46DD-4960-8E74-40170D6F9A3B}" keepAlive="1" name="Query - Table14 (2)" description="Connection to the 'Table14 (2)' query in the workbook." type="5" refreshedVersion="8" background="1" saveData="1">
    <dbPr connection="Provider=Microsoft.Mashup.OleDb.1;Data Source=$Workbook$;Location=&quot;Table14 (2)&quot;;Extended Properties=&quot;&quot;" command="SELECT * FROM [Table14 (2)]"/>
  </connection>
</connections>
</file>

<file path=xl/sharedStrings.xml><?xml version="1.0" encoding="utf-8"?>
<sst xmlns="http://schemas.openxmlformats.org/spreadsheetml/2006/main" count="1751" uniqueCount="297">
  <si>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</si>
  <si>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</si>
  <si>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</si>
  <si>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</si>
  <si>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</si>
  <si>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</si>
  <si>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</si>
  <si>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</si>
  <si>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</si>
  <si>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Salary2</t>
  </si>
  <si>
    <t>EMP1000</t>
  </si>
  <si>
    <t>Unknown</t>
  </si>
  <si>
    <t>Finance</t>
  </si>
  <si>
    <t xml:space="preserve"> 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</si>
  <si>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</si>
  <si>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</si>
  <si>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</si>
  <si>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</si>
  <si>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</si>
  <si>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</si>
  <si>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</si>
  <si>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</si>
  <si>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</si>
  <si>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</si>
  <si>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</si>
  <si>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</si>
  <si>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</si>
  <si>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</si>
  <si>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</si>
  <si>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</si>
  <si>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</si>
  <si>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</si>
  <si>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</si>
  <si>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</si>
  <si>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</si>
  <si>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</si>
  <si>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</si>
  <si>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</si>
  <si>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</si>
  <si>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</si>
  <si>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</si>
  <si>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</si>
  <si>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</si>
  <si>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</si>
  <si>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</si>
  <si>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</si>
  <si>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</si>
  <si>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</si>
  <si>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</si>
  <si>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</si>
  <si>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</si>
  <si>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</si>
  <si>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</si>
  <si>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</si>
  <si>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</si>
  <si>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</si>
  <si>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</si>
  <si>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</si>
  <si>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</si>
  <si>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</si>
  <si>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</si>
  <si>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</si>
  <si>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</si>
  <si>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</si>
  <si>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</si>
  <si>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</si>
  <si>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</si>
  <si>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</si>
  <si>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</si>
  <si>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</si>
  <si>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</si>
  <si>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</si>
  <si>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</si>
  <si>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</si>
  <si>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</si>
  <si>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</si>
  <si>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</si>
  <si>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</si>
  <si>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</si>
  <si>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</si>
  <si>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</si>
  <si>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</si>
  <si>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</si>
  <si>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</si>
  <si>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</si>
  <si>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</si>
  <si>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</si>
  <si>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</si>
  <si>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</si>
  <si>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</si>
  <si>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</si>
  <si>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</si>
  <si>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</si>
  <si>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</si>
  <si>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</si>
  <si>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</si>
  <si>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</si>
  <si>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</si>
  <si>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</si>
  <si>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</si>
  <si>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</si>
  <si>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</si>
  <si>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</si>
  <si>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</si>
  <si>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</si>
  <si>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</si>
  <si>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</si>
  <si>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</si>
  <si>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</si>
  <si>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</si>
  <si>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</si>
  <si>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</si>
  <si>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</si>
  <si>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</si>
  <si>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</si>
  <si>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</si>
  <si>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</si>
  <si>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</si>
  <si>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</si>
  <si>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</si>
  <si>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</si>
  <si>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</si>
  <si>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</si>
  <si>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</si>
  <si>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</si>
  <si>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</si>
  <si>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</si>
  <si>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</si>
  <si>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</si>
  <si>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</si>
  <si>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</si>
  <si>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</si>
  <si>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</si>
  <si>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</si>
  <si>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</si>
  <si>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</si>
  <si>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</si>
  <si>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</si>
  <si>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</si>
  <si>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</si>
  <si>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</si>
  <si>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</si>
  <si>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</si>
  <si>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</si>
  <si>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</si>
  <si>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</si>
  <si>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</si>
  <si>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</si>
  <si>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</si>
  <si>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</si>
  <si>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</si>
  <si>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</si>
  <si>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</si>
  <si>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</si>
  <si>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</si>
  <si>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</si>
  <si>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</si>
  <si>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</si>
  <si>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</si>
  <si>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</si>
  <si>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</si>
  <si>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</si>
  <si>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</si>
  <si>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</si>
  <si>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</si>
  <si>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</si>
  <si>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</si>
  <si>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</si>
  <si>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</si>
  <si>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</si>
  <si>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</si>
  <si>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</si>
  <si>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</si>
  <si>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</si>
  <si>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</si>
  <si>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</si>
  <si>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</si>
  <si>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</si>
  <si>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</si>
  <si>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</si>
  <si>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</si>
  <si>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</si>
  <si>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</si>
  <si>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</si>
  <si>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</si>
  <si>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</si>
  <si>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</si>
  <si>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</si>
  <si>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</si>
  <si>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</si>
  <si>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</si>
  <si>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</si>
  <si>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</si>
  <si>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</si>
  <si>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</si>
  <si>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</si>
  <si>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</si>
  <si>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</si>
  <si>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</si>
  <si>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</si>
  <si>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</si>
  <si>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</si>
  <si>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</si>
  <si>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</si>
  <si>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</si>
  <si>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</si>
  <si>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</si>
  <si>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</si>
  <si>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</si>
  <si>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</si>
  <si>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</si>
  <si>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</si>
  <si>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</si>
  <si>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</si>
  <si>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</si>
  <si>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</si>
  <si>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</si>
  <si>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</si>
  <si>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</si>
  <si>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</si>
  <si>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</si>
  <si>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</si>
  <si>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</si>
  <si>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</si>
  <si>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</si>
  <si>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</si>
  <si>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</si>
  <si>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</si>
  <si>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</si>
  <si>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</si>
  <si>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</si>
  <si>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</si>
  <si>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</si>
  <si>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</si>
  <si>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</si>
  <si>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</si>
  <si>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</si>
  <si>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</si>
  <si>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</si>
  <si>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</si>
  <si>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</si>
  <si>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</si>
  <si>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</si>
  <si>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</si>
  <si>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</si>
  <si>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</si>
  <si>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</si>
  <si>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</si>
  <si>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</si>
  <si>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</si>
  <si>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</si>
  <si>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</si>
  <si>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</si>
  <si>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</si>
  <si>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</si>
  <si>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</si>
  <si>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</si>
  <si>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</si>
  <si>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</si>
  <si>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</si>
  <si>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</si>
  <si>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</si>
  <si>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</si>
  <si>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</si>
  <si>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</si>
  <si>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</si>
  <si>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</si>
  <si>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</si>
  <si>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</si>
  <si>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</si>
  <si>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</si>
  <si>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</si>
  <si>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</si>
  <si>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</si>
  <si>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</si>
  <si>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</si>
  <si>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</si>
  <si>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</si>
  <si>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</si>
  <si>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</si>
  <si>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</si>
  <si>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(Average Rating)</t>
  </si>
  <si>
    <t>Description</t>
  </si>
  <si>
    <t>To find the missing Values in Salary column I used Average formula</t>
  </si>
  <si>
    <t>SUM of Salary</t>
  </si>
  <si>
    <t xml:space="preserve">Date columns are in pattern - 6 days between 11-01-2015 and 18-01-2015 </t>
  </si>
  <si>
    <t xml:space="preserve">Count </t>
  </si>
  <si>
    <t>IF(ISBLANK(G29), G28, G29) - to fill performance rating column I used this formula</t>
  </si>
  <si>
    <t>Average</t>
  </si>
  <si>
    <t>Name column - I Mentioned missing details as Unknown</t>
  </si>
  <si>
    <t>Count</t>
  </si>
  <si>
    <t>Loaded Data in power Query</t>
  </si>
  <si>
    <t>Used Fillter up and down</t>
  </si>
  <si>
    <t xml:space="preserve">Did Group by for the Department column </t>
  </si>
  <si>
    <t xml:space="preserve">Filled the Gender  and country column using replace value as unknown </t>
  </si>
  <si>
    <t>unknown</t>
  </si>
  <si>
    <t>Cleaned data without empty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</si>
</sst>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/>
    <xf numFmtId="1" fontId="0" fillId="0" borderId="0" xfId="0" applyNumberFormat="1"/>
    <xf numFmtId="14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2" fillId="0" borderId="6" xfId="1" applyBorder="1" applyAlignment="1">
      <alignment horizontal="left"/>
    </xf>
    <xf numFmtId="14" fontId="0" fillId="2" borderId="5" xfId="0" applyNumberFormat="1" applyFill="1" applyBorder="1"/>
    <xf numFmtId="0" fontId="0" fillId="0" borderId="7" xfId="0" applyBorder="1" applyAlignment="1">
      <alignment horizontal="center"/>
    </xf>
    <xf numFmtId="0" fontId="0" fillId="0" borderId="8" xfId="0" applyBorder="1"/>
    <xf numFmtId="14" fontId="0" fillId="0" borderId="8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5" xfId="0" applyFont="1" applyBorder="1"/>
    <xf numFmtId="1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" fontId="0" fillId="0" borderId="5" xfId="0" applyNumberFormat="1" applyBorder="1"/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NumberFormat="1"/>
    <xf numFmtId="0" fontId="1" fillId="0" borderId="5" xfId="0" applyFont="1" applyBorder="1" applyAlignment="1">
      <alignment horizontal="center"/>
    </xf>
    <xf numFmtId="22" fontId="0" fillId="0" borderId="0" xfId="0" applyNumberFormat="1"/>
  </cellXfs>
  <cellStyles count="2">
    <cellStyle name="Hyperlink" xfId="1" builtinId="8"/>
    <cellStyle name="Normal" xfId="0" builtinId="0"/>
  </cellStyles>
  <dxfs count="30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left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F06060E-8A76-420B-A41E-7D62B9F371AC}" autoFormatId="16" applyNumberFormats="0" applyBorderFormats="0" applyFontFormats="0" applyPatternFormats="0" applyAlignmentFormats="0" applyWidthHeightFormats="0">
  <queryTableRefresh nextId="11">
    <queryTableFields count="10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name="Salary2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8C02E2-96FD-44D9-AD00-D35BF451CBEF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Coun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8B138-EBA4-470C-8B75-1616634850AD}" name="Table14" displayName="Table14" ref="A1:J151" totalsRowShown="0" headerRowDxfId="29" headerRowBorderDxfId="28" tableBorderDxfId="27" totalsRowBorderDxfId="26">
  <autoFilter ref="A1:J151" xr:uid="{9AE8B138-EBA4-470C-8B75-1616634850AD}"/>
  <tableColumns count="10">
    <tableColumn id="1" xr3:uid="{7917312B-63C3-4D17-976D-832E61FC62B7}" name="Employee ID" dataDxfId="25" totalsRowDxfId="24"/>
    <tableColumn id="2" xr3:uid="{0CC2F66D-F599-44ED-A05B-6B4C177DE103}" name="Name" dataDxfId="23" totalsRowDxfId="22"/>
    <tableColumn id="3" xr3:uid="{E04EFC09-55AC-441F-B58C-E1606D642578}" name="Department" dataDxfId="21" totalsRowDxfId="20"/>
    <tableColumn id="4" xr3:uid="{34D4AF22-DA2C-485E-8A9B-2D88D4844A73}" name="Country" dataDxfId="19" totalsRowDxfId="18"/>
    <tableColumn id="5" xr3:uid="{76CB5DE2-4730-487F-9B36-8B20C685BD8A}" name="Salary" dataDxfId="17" totalsRowDxfId="16"/>
    <tableColumn id="6" xr3:uid="{D0C250B9-934E-4278-82C6-828324236F7E}" name="Date of Joining" dataDxfId="15" totalsRowDxfId="14"/>
    <tableColumn id="7" xr3:uid="{6C8E862B-DEC1-40CE-9A5E-10AA5261A183}" name="Performance Rating" dataDxfId="13" totalsRowDxfId="12"/>
    <tableColumn id="8" xr3:uid="{C2D1FF06-2131-46E9-8B62-5D48EA97C13B}" name="Gender" dataDxfId="11" totalsRowDxfId="10"/>
    <tableColumn id="9" xr3:uid="{87A073E0-8462-4FDA-8F2F-0E1C3A357053}" name="Email" dataDxfId="9" totalsRowDxfId="8"/>
    <tableColumn id="10" xr3:uid="{429F8CB8-E93E-4CF0-85B9-1550C7865D30}" name="Salary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2AEFF-1A90-4A5F-8C40-F3394F2AE84D}" name="Table14__2" displayName="Table14__2" ref="A1:J151" tableType="queryTable" totalsRowShown="0">
  <autoFilter ref="A1:J151" xr:uid="{49E2AEFF-1A90-4A5F-8C40-F3394F2AE84D}"/>
  <tableColumns count="10">
    <tableColumn id="1" xr3:uid="{2D76009C-E08C-4081-B524-D3857E49CD07}" uniqueName="1" name="Employee ID" queryTableFieldId="1" dataDxfId="6"/>
    <tableColumn id="2" xr3:uid="{E29711D6-C7FA-40B7-89F1-356E81BA8339}" uniqueName="2" name="Name" queryTableFieldId="2" dataDxfId="5"/>
    <tableColumn id="3" xr3:uid="{582DC6FA-7396-4C16-9BC7-FDB5F3AAAE81}" uniqueName="3" name="Department" queryTableFieldId="3" dataDxfId="4"/>
    <tableColumn id="4" xr3:uid="{0999EFB8-39FF-416B-9FA7-414A3643D49F}" uniqueName="4" name="Country" queryTableFieldId="4" dataDxfId="3"/>
    <tableColumn id="5" xr3:uid="{004FEE14-3B2D-4BF3-9145-0D13DE187E89}" uniqueName="5" name="Salary" queryTableFieldId="5"/>
    <tableColumn id="6" xr3:uid="{D0BD6812-BE85-4332-B03C-CF37321FDDA0}" uniqueName="6" name="Date of Joining" queryTableFieldId="6" dataDxfId="2"/>
    <tableColumn id="7" xr3:uid="{355CEBE8-BF10-446F-8D94-0EE9FC30052F}" uniqueName="7" name="Performance Rating" queryTableFieldId="7"/>
    <tableColumn id="8" xr3:uid="{3DD50FBE-137F-45BE-BBCC-0CEBF7911B57}" uniqueName="8" name="Gender" queryTableFieldId="8" dataDxfId="1"/>
    <tableColumn id="9" xr3:uid="{7AD59A9E-9ED0-4718-8A58-54E9709D20E2}" uniqueName="9" name="Email" queryTableFieldId="9" dataDxfId="0"/>
    <tableColumn id="10" xr3:uid="{A73617E7-D2C4-4E2B-84C7-C454D0BBE8BB}" uniqueName="10" name="Salary2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847498-529F-4334-8FAC-FF69FA15F604}" name="Table14_1" displayName="Table14_1" ref="A1:B6" tableType="queryTable" totalsRowShown="0">
  <autoFilter ref="A1:B6" xr:uid="{7E847498-529F-4334-8FAC-FF69FA15F604}"/>
  <tableColumns count="2">
    <tableColumn id="1" xr3:uid="{558EA271-4F51-4FDF-80CE-84D46D720256}" uniqueName="1" name="Department" queryTableFieldId="1" dataDxfId="7"/>
    <tableColumn id="2" xr3:uid="{12C8901B-78CC-4100-A10F-C3C57EA2DBF1}" uniqueName="2" name="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user106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95FA-0139-484F-9599-B8C2BFE183E6}">
  <dimension ref="A1:L157"/>
  <sheetViews>
    <sheetView workbookViewId="0">
      <pane ySplit="1" topLeftCell="A109" activePane="bottomLeft" state="frozen"/>
      <selection pane="bottomLeft" sqref="A1:XFD1048576"/>
    </sheetView>
  </sheetViews>
  <sheetFormatPr defaultRowHeight="14.5" x14ac:dyDescent="0.35"/>
  <cols>
    <col min="1" max="1" width="11.90625" style="20" customWidth="1"/>
    <col min="2" max="2" width="21.6328125" customWidth="1"/>
    <col min="3" max="3" width="13.6328125" customWidth="1"/>
    <col min="4" max="4" width="10.81640625" customWidth="1"/>
    <col min="5" max="5" width="14.90625" customWidth="1"/>
    <col min="6" max="6" width="15.7265625" style="23" customWidth="1"/>
    <col min="7" max="7" width="12.54296875" style="20" customWidth="1"/>
    <col min="8" max="8" width="12" customWidth="1"/>
    <col min="9" max="9" width="26" style="22" customWidth="1"/>
    <col min="10" max="10" width="12.54296875" customWidth="1"/>
  </cols>
  <sheetData>
    <row r="1" spans="1:11" s="5" customFormat="1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 t="s">
        <v>6</v>
      </c>
    </row>
    <row r="2" spans="1:11" x14ac:dyDescent="0.35">
      <c r="A2" s="6" t="s">
        <v>10</v>
      </c>
      <c r="B2" s="7" t="s">
        <v>11</v>
      </c>
      <c r="C2" s="7" t="s">
        <v>12</v>
      </c>
      <c r="D2" s="7" t="s">
        <v>13</v>
      </c>
      <c r="E2" s="8">
        <f ca="1">AVERAGE(Table14[Salary])</f>
        <v>66280.929577464791</v>
      </c>
      <c r="F2" s="9">
        <v>42008</v>
      </c>
      <c r="G2" s="10">
        <v>2</v>
      </c>
      <c r="H2" s="7" t="s">
        <v>11</v>
      </c>
      <c r="I2" s="11" t="s">
        <v>14</v>
      </c>
      <c r="J2">
        <v>54255</v>
      </c>
      <c r="K2">
        <v>2</v>
      </c>
    </row>
    <row r="3" spans="1:11" x14ac:dyDescent="0.35">
      <c r="A3" s="6" t="s">
        <v>15</v>
      </c>
      <c r="B3" s="7" t="s">
        <v>16</v>
      </c>
      <c r="C3" s="7" t="s">
        <v>17</v>
      </c>
      <c r="D3" s="7" t="s">
        <v>18</v>
      </c>
      <c r="E3" s="7">
        <v>54255</v>
      </c>
      <c r="F3" s="9">
        <v>42015</v>
      </c>
      <c r="G3" s="10">
        <v>1</v>
      </c>
      <c r="H3" s="7" t="s">
        <v>19</v>
      </c>
      <c r="I3" s="11" t="s">
        <v>20</v>
      </c>
      <c r="J3">
        <v>63184</v>
      </c>
      <c r="K3">
        <v>1</v>
      </c>
    </row>
    <row r="4" spans="1:11" x14ac:dyDescent="0.35">
      <c r="A4" s="6" t="s">
        <v>21</v>
      </c>
      <c r="B4" s="7" t="s">
        <v>22</v>
      </c>
      <c r="C4" s="7" t="s">
        <v>12</v>
      </c>
      <c r="D4" s="7" t="s">
        <v>18</v>
      </c>
      <c r="E4" s="7">
        <v>63184</v>
      </c>
      <c r="F4" s="9">
        <v>42022</v>
      </c>
      <c r="G4" s="10">
        <v>2</v>
      </c>
      <c r="H4" s="7"/>
      <c r="I4" s="11" t="s">
        <v>23</v>
      </c>
      <c r="J4">
        <v>94406</v>
      </c>
      <c r="K4">
        <v>2</v>
      </c>
    </row>
    <row r="5" spans="1:11" x14ac:dyDescent="0.35">
      <c r="A5" s="6" t="s">
        <v>24</v>
      </c>
      <c r="B5" s="7" t="s">
        <v>25</v>
      </c>
      <c r="C5" s="7" t="s">
        <v>26</v>
      </c>
      <c r="D5" s="7" t="s">
        <v>27</v>
      </c>
      <c r="E5" s="7">
        <v>94406</v>
      </c>
      <c r="F5" s="9">
        <v>42029</v>
      </c>
      <c r="G5" s="10">
        <v>1</v>
      </c>
      <c r="H5" s="7" t="s">
        <v>28</v>
      </c>
      <c r="I5" s="11" t="s">
        <v>29</v>
      </c>
      <c r="J5">
        <v>64120</v>
      </c>
      <c r="K5">
        <v>1</v>
      </c>
    </row>
    <row r="6" spans="1:11" x14ac:dyDescent="0.35">
      <c r="A6" s="6" t="s">
        <v>30</v>
      </c>
      <c r="B6" s="7" t="s">
        <v>31</v>
      </c>
      <c r="C6" s="7" t="s">
        <v>26</v>
      </c>
      <c r="D6" s="7" t="s">
        <v>18</v>
      </c>
      <c r="E6" s="7">
        <v>64120</v>
      </c>
      <c r="F6" s="9">
        <v>42036</v>
      </c>
      <c r="G6" s="10">
        <v>1</v>
      </c>
      <c r="H6" s="7" t="s">
        <v>28</v>
      </c>
      <c r="I6" s="11" t="s">
        <v>32</v>
      </c>
      <c r="J6">
        <v>78421</v>
      </c>
      <c r="K6">
        <v>1</v>
      </c>
    </row>
    <row r="7" spans="1:11" x14ac:dyDescent="0.35">
      <c r="A7" s="6" t="s">
        <v>33</v>
      </c>
      <c r="B7" s="7" t="s">
        <v>22</v>
      </c>
      <c r="C7" s="7" t="s">
        <v>34</v>
      </c>
      <c r="D7" s="7" t="s">
        <v>35</v>
      </c>
      <c r="E7" s="7">
        <v>78421</v>
      </c>
      <c r="F7" s="9">
        <v>42043</v>
      </c>
      <c r="G7" s="10">
        <v>2</v>
      </c>
      <c r="H7" s="7" t="s">
        <v>36</v>
      </c>
      <c r="I7" s="11" t="s">
        <v>37</v>
      </c>
      <c r="J7">
        <v>67721</v>
      </c>
      <c r="K7">
        <v>2</v>
      </c>
    </row>
    <row r="8" spans="1:11" x14ac:dyDescent="0.35">
      <c r="A8" s="6" t="s">
        <v>38</v>
      </c>
      <c r="B8" s="7" t="s">
        <v>39</v>
      </c>
      <c r="C8" s="7" t="s">
        <v>26</v>
      </c>
      <c r="D8" s="7"/>
      <c r="E8" s="7">
        <v>67721</v>
      </c>
      <c r="F8" s="9">
        <v>42050</v>
      </c>
      <c r="G8" s="12">
        <f>IF(ISBLANK(G2), G1, G2)</f>
        <v>2</v>
      </c>
      <c r="H8" s="7" t="s">
        <v>28</v>
      </c>
      <c r="I8" s="11" t="s">
        <v>29</v>
      </c>
      <c r="J8">
        <v>35364</v>
      </c>
      <c r="K8">
        <v>2</v>
      </c>
    </row>
    <row r="9" spans="1:11" x14ac:dyDescent="0.35">
      <c r="A9" s="6" t="s">
        <v>40</v>
      </c>
      <c r="B9" s="7" t="s">
        <v>41</v>
      </c>
      <c r="C9" s="7" t="s">
        <v>42</v>
      </c>
      <c r="D9" s="7"/>
      <c r="E9" s="7">
        <v>35364</v>
      </c>
      <c r="F9" s="9">
        <v>42057</v>
      </c>
      <c r="G9" s="12">
        <f>IF(ISBLANK(G3), G2, G3)</f>
        <v>1</v>
      </c>
      <c r="H9" s="7" t="s">
        <v>19</v>
      </c>
      <c r="I9" s="11" t="s">
        <v>43</v>
      </c>
      <c r="J9">
        <v>97881</v>
      </c>
      <c r="K9">
        <v>1</v>
      </c>
    </row>
    <row r="10" spans="1:11" x14ac:dyDescent="0.35">
      <c r="A10" s="6" t="s">
        <v>44</v>
      </c>
      <c r="B10" s="7" t="s">
        <v>22</v>
      </c>
      <c r="C10" s="7" t="s">
        <v>34</v>
      </c>
      <c r="D10" s="7" t="s">
        <v>18</v>
      </c>
      <c r="E10" s="7">
        <v>97881</v>
      </c>
      <c r="F10" s="9">
        <v>42064</v>
      </c>
      <c r="G10" s="12">
        <f>IF(ISBLANK(G4), G3, G4)</f>
        <v>2</v>
      </c>
      <c r="H10" s="7" t="s">
        <v>36</v>
      </c>
      <c r="I10" s="11" t="s">
        <v>45</v>
      </c>
      <c r="J10">
        <v>91846</v>
      </c>
      <c r="K10">
        <v>2</v>
      </c>
    </row>
    <row r="11" spans="1:11" ht="15" customHeight="1" x14ac:dyDescent="0.35">
      <c r="A11" s="6" t="s">
        <v>46</v>
      </c>
      <c r="B11" s="7" t="s">
        <v>41</v>
      </c>
      <c r="C11" s="7" t="s">
        <v>17</v>
      </c>
      <c r="D11" s="7" t="s">
        <v>47</v>
      </c>
      <c r="E11" s="7">
        <v>91846</v>
      </c>
      <c r="F11" s="9">
        <v>42071</v>
      </c>
      <c r="G11" s="12">
        <f>IF(ISBLANK(G5), G4, G5)</f>
        <v>1</v>
      </c>
      <c r="H11" s="7" t="s">
        <v>28</v>
      </c>
      <c r="I11" s="11" t="s">
        <v>48</v>
      </c>
      <c r="J11">
        <v>64247</v>
      </c>
      <c r="K11">
        <v>1</v>
      </c>
    </row>
    <row r="12" spans="1:11" x14ac:dyDescent="0.35">
      <c r="A12" s="6" t="s">
        <v>49</v>
      </c>
      <c r="B12" s="7" t="s">
        <v>39</v>
      </c>
      <c r="C12" s="7" t="s">
        <v>12</v>
      </c>
      <c r="D12" s="7" t="s">
        <v>47</v>
      </c>
      <c r="E12" s="7">
        <v>64247</v>
      </c>
      <c r="F12" s="9">
        <v>42078</v>
      </c>
      <c r="G12" s="10">
        <f t="shared" ref="G12:G19" si="0">IF(ISBLANK(G6), G5, G6)</f>
        <v>1</v>
      </c>
      <c r="H12" s="7" t="s">
        <v>36</v>
      </c>
      <c r="I12" s="11" t="s">
        <v>50</v>
      </c>
      <c r="J12">
        <v>91180</v>
      </c>
      <c r="K12">
        <v>1</v>
      </c>
    </row>
    <row r="13" spans="1:11" x14ac:dyDescent="0.35">
      <c r="A13" s="6" t="s">
        <v>51</v>
      </c>
      <c r="B13" s="7" t="s">
        <v>39</v>
      </c>
      <c r="C13" s="7" t="s">
        <v>34</v>
      </c>
      <c r="D13" s="7" t="s">
        <v>27</v>
      </c>
      <c r="E13" s="7">
        <v>91180</v>
      </c>
      <c r="F13" s="9">
        <v>42085</v>
      </c>
      <c r="G13" s="10">
        <f t="shared" si="0"/>
        <v>2</v>
      </c>
      <c r="H13" s="7" t="s">
        <v>28</v>
      </c>
      <c r="I13" s="11" t="s">
        <v>52</v>
      </c>
      <c r="J13">
        <v>96418</v>
      </c>
      <c r="K13">
        <v>2</v>
      </c>
    </row>
    <row r="14" spans="1:11" x14ac:dyDescent="0.35">
      <c r="A14" s="6" t="s">
        <v>53</v>
      </c>
      <c r="B14" s="7" t="s">
        <v>54</v>
      </c>
      <c r="C14" s="7" t="s">
        <v>26</v>
      </c>
      <c r="D14" s="7"/>
      <c r="E14" s="7">
        <v>96418</v>
      </c>
      <c r="F14" s="9">
        <v>42092</v>
      </c>
      <c r="G14" s="10">
        <f t="shared" si="0"/>
        <v>2</v>
      </c>
      <c r="H14" s="7" t="s">
        <v>28</v>
      </c>
      <c r="I14" s="13" t="s">
        <v>20</v>
      </c>
      <c r="J14">
        <v>62158</v>
      </c>
      <c r="K14">
        <v>2</v>
      </c>
    </row>
    <row r="15" spans="1:11" x14ac:dyDescent="0.35">
      <c r="A15" s="6" t="s">
        <v>55</v>
      </c>
      <c r="B15" s="7" t="s">
        <v>39</v>
      </c>
      <c r="C15" s="7"/>
      <c r="D15" s="7" t="s">
        <v>35</v>
      </c>
      <c r="E15" s="7">
        <v>62158</v>
      </c>
      <c r="F15" s="9">
        <v>42099</v>
      </c>
      <c r="G15" s="10">
        <f t="shared" si="0"/>
        <v>1</v>
      </c>
      <c r="H15" s="7"/>
      <c r="I15" s="11" t="s">
        <v>56</v>
      </c>
      <c r="J15">
        <v>59894</v>
      </c>
      <c r="K15">
        <v>1</v>
      </c>
    </row>
    <row r="16" spans="1:11" x14ac:dyDescent="0.35">
      <c r="A16" s="6" t="s">
        <v>57</v>
      </c>
      <c r="B16" s="7" t="s">
        <v>31</v>
      </c>
      <c r="C16" s="7" t="s">
        <v>17</v>
      </c>
      <c r="D16" s="7"/>
      <c r="E16" s="7">
        <v>59894</v>
      </c>
      <c r="F16" s="9">
        <v>42106</v>
      </c>
      <c r="G16" s="10">
        <f t="shared" si="0"/>
        <v>2</v>
      </c>
      <c r="H16" s="7" t="s">
        <v>28</v>
      </c>
      <c r="I16" s="11" t="s">
        <v>58</v>
      </c>
      <c r="J16">
        <v>92443</v>
      </c>
      <c r="K16">
        <v>2</v>
      </c>
    </row>
    <row r="17" spans="1:11" x14ac:dyDescent="0.35">
      <c r="A17" s="6" t="s">
        <v>59</v>
      </c>
      <c r="B17" s="7" t="s">
        <v>11</v>
      </c>
      <c r="C17" s="7" t="s">
        <v>34</v>
      </c>
      <c r="D17" s="7" t="s">
        <v>35</v>
      </c>
      <c r="E17" s="7">
        <v>92443</v>
      </c>
      <c r="F17" s="9">
        <v>42113</v>
      </c>
      <c r="G17" s="10">
        <f t="shared" si="0"/>
        <v>1</v>
      </c>
      <c r="H17" s="7" t="s">
        <v>19</v>
      </c>
      <c r="I17" s="11" t="s">
        <v>60</v>
      </c>
      <c r="J17">
        <v>90271</v>
      </c>
      <c r="K17">
        <v>1</v>
      </c>
    </row>
    <row r="18" spans="1:11" x14ac:dyDescent="0.35">
      <c r="A18" s="6" t="s">
        <v>61</v>
      </c>
      <c r="B18" s="7" t="s">
        <v>54</v>
      </c>
      <c r="C18" s="7"/>
      <c r="D18" s="7" t="s">
        <v>18</v>
      </c>
      <c r="E18" s="7">
        <v>90271</v>
      </c>
      <c r="F18" s="9">
        <v>42120</v>
      </c>
      <c r="G18" s="12">
        <f>IF(ISBLANK(G12), G11, G12)</f>
        <v>1</v>
      </c>
      <c r="H18" s="7"/>
      <c r="I18" s="11" t="s">
        <v>62</v>
      </c>
      <c r="J18">
        <v>41341</v>
      </c>
      <c r="K18">
        <v>1</v>
      </c>
    </row>
    <row r="19" spans="1:11" x14ac:dyDescent="0.35">
      <c r="A19" s="6" t="s">
        <v>63</v>
      </c>
      <c r="B19" s="7" t="s">
        <v>31</v>
      </c>
      <c r="C19" s="7" t="s">
        <v>12</v>
      </c>
      <c r="D19" s="7" t="s">
        <v>64</v>
      </c>
      <c r="E19" s="7">
        <v>41341</v>
      </c>
      <c r="F19" s="9">
        <v>42127</v>
      </c>
      <c r="G19" s="12">
        <f t="shared" si="0"/>
        <v>2</v>
      </c>
      <c r="H19" s="7" t="s">
        <v>19</v>
      </c>
      <c r="I19" s="11" t="s">
        <v>65</v>
      </c>
      <c r="J19">
        <v>73602</v>
      </c>
      <c r="K19">
        <v>2</v>
      </c>
    </row>
    <row r="20" spans="1:11" x14ac:dyDescent="0.35">
      <c r="A20" s="6" t="s">
        <v>66</v>
      </c>
      <c r="B20" s="7" t="s">
        <v>22</v>
      </c>
      <c r="C20" s="7" t="s">
        <v>12</v>
      </c>
      <c r="D20" s="7" t="s">
        <v>47</v>
      </c>
      <c r="E20" s="7">
        <v>73602</v>
      </c>
      <c r="F20" s="9">
        <v>42134</v>
      </c>
      <c r="G20" s="12">
        <f>IF(ISBLANK(G14), G13, G14)</f>
        <v>2</v>
      </c>
      <c r="H20" s="7"/>
      <c r="I20" s="11" t="s">
        <v>67</v>
      </c>
      <c r="J20">
        <v>67531</v>
      </c>
      <c r="K20">
        <v>2</v>
      </c>
    </row>
    <row r="21" spans="1:11" x14ac:dyDescent="0.35">
      <c r="A21" s="6" t="s">
        <v>68</v>
      </c>
      <c r="B21" s="7" t="s">
        <v>16</v>
      </c>
      <c r="C21" s="7"/>
      <c r="D21" s="7" t="s">
        <v>35</v>
      </c>
      <c r="E21" s="7">
        <v>67531</v>
      </c>
      <c r="F21" s="9">
        <v>42141</v>
      </c>
      <c r="G21" s="10">
        <v>5</v>
      </c>
      <c r="H21" s="7" t="s">
        <v>36</v>
      </c>
      <c r="I21" s="11" t="s">
        <v>69</v>
      </c>
      <c r="J21" s="8">
        <v>66280.929577464791</v>
      </c>
      <c r="K21">
        <v>5</v>
      </c>
    </row>
    <row r="22" spans="1:11" x14ac:dyDescent="0.35">
      <c r="A22" s="6" t="s">
        <v>70</v>
      </c>
      <c r="B22" s="7" t="s">
        <v>31</v>
      </c>
      <c r="C22" s="7" t="s">
        <v>17</v>
      </c>
      <c r="D22" s="7" t="s">
        <v>27</v>
      </c>
      <c r="E22" s="8">
        <f ca="1">AVERAGE(Table14[Salary])</f>
        <v>66280.929577464791</v>
      </c>
      <c r="F22" s="9">
        <v>42148</v>
      </c>
      <c r="G22" s="10">
        <v>2</v>
      </c>
      <c r="H22" s="7" t="s">
        <v>19</v>
      </c>
      <c r="I22" s="11" t="s">
        <v>71</v>
      </c>
      <c r="J22">
        <v>98922</v>
      </c>
      <c r="K22">
        <v>2</v>
      </c>
    </row>
    <row r="23" spans="1:11" x14ac:dyDescent="0.35">
      <c r="A23" s="6" t="s">
        <v>72</v>
      </c>
      <c r="B23" s="7" t="s">
        <v>31</v>
      </c>
      <c r="C23" s="7" t="s">
        <v>17</v>
      </c>
      <c r="D23" s="7"/>
      <c r="E23" s="7">
        <v>98922</v>
      </c>
      <c r="F23" s="9">
        <v>42155</v>
      </c>
      <c r="G23" s="10">
        <v>4</v>
      </c>
      <c r="H23" s="7"/>
      <c r="I23" s="11" t="s">
        <v>73</v>
      </c>
      <c r="J23">
        <v>38333</v>
      </c>
      <c r="K23">
        <v>4</v>
      </c>
    </row>
    <row r="24" spans="1:11" x14ac:dyDescent="0.35">
      <c r="A24" s="6" t="s">
        <v>74</v>
      </c>
      <c r="B24" s="7" t="s">
        <v>16</v>
      </c>
      <c r="C24" s="7" t="s">
        <v>12</v>
      </c>
      <c r="D24" s="7" t="s">
        <v>35</v>
      </c>
      <c r="E24" s="7">
        <v>38333</v>
      </c>
      <c r="F24" s="9">
        <v>42162</v>
      </c>
      <c r="G24" s="10">
        <v>5</v>
      </c>
      <c r="H24" s="7"/>
      <c r="I24" s="11" t="s">
        <v>75</v>
      </c>
      <c r="J24">
        <v>36515</v>
      </c>
      <c r="K24">
        <v>5</v>
      </c>
    </row>
    <row r="25" spans="1:11" x14ac:dyDescent="0.35">
      <c r="A25" s="6" t="s">
        <v>76</v>
      </c>
      <c r="B25" s="7" t="s">
        <v>22</v>
      </c>
      <c r="C25" s="7" t="s">
        <v>42</v>
      </c>
      <c r="D25" s="7" t="s">
        <v>47</v>
      </c>
      <c r="E25" s="7">
        <v>36515</v>
      </c>
      <c r="F25" s="9">
        <v>42169</v>
      </c>
      <c r="G25" s="10">
        <v>3</v>
      </c>
      <c r="H25" s="7" t="s">
        <v>28</v>
      </c>
      <c r="I25" s="11" t="s">
        <v>77</v>
      </c>
      <c r="J25">
        <v>91005</v>
      </c>
      <c r="K25">
        <v>3</v>
      </c>
    </row>
    <row r="26" spans="1:11" x14ac:dyDescent="0.35">
      <c r="A26" s="6" t="s">
        <v>78</v>
      </c>
      <c r="B26" s="7" t="s">
        <v>39</v>
      </c>
      <c r="C26" s="7" t="s">
        <v>12</v>
      </c>
      <c r="D26" s="7"/>
      <c r="E26" s="7">
        <v>91005</v>
      </c>
      <c r="F26" s="9">
        <v>42176</v>
      </c>
      <c r="G26" s="10">
        <v>1</v>
      </c>
      <c r="H26" s="7" t="s">
        <v>19</v>
      </c>
      <c r="I26" s="11" t="s">
        <v>79</v>
      </c>
      <c r="J26">
        <v>52272</v>
      </c>
      <c r="K26">
        <v>1</v>
      </c>
    </row>
    <row r="27" spans="1:11" x14ac:dyDescent="0.35">
      <c r="A27" s="6" t="s">
        <v>80</v>
      </c>
      <c r="B27" s="7" t="s">
        <v>41</v>
      </c>
      <c r="C27" s="7"/>
      <c r="D27" s="7" t="s">
        <v>13</v>
      </c>
      <c r="E27" s="7">
        <v>52272</v>
      </c>
      <c r="F27" s="9">
        <v>42183</v>
      </c>
      <c r="G27" s="10">
        <v>3</v>
      </c>
      <c r="H27" s="7"/>
      <c r="I27" s="11" t="s">
        <v>81</v>
      </c>
      <c r="J27">
        <v>76518</v>
      </c>
      <c r="K27">
        <v>3</v>
      </c>
    </row>
    <row r="28" spans="1:11" x14ac:dyDescent="0.35">
      <c r="A28" s="6" t="s">
        <v>82</v>
      </c>
      <c r="B28" s="7" t="s">
        <v>16</v>
      </c>
      <c r="C28" s="7" t="s">
        <v>26</v>
      </c>
      <c r="D28" s="7" t="s">
        <v>18</v>
      </c>
      <c r="E28" s="7">
        <v>76518</v>
      </c>
      <c r="F28" s="9">
        <v>42190</v>
      </c>
      <c r="G28" s="10">
        <v>2</v>
      </c>
      <c r="H28" s="7" t="s">
        <v>36</v>
      </c>
      <c r="I28" s="11" t="s">
        <v>83</v>
      </c>
      <c r="J28">
        <v>41448</v>
      </c>
      <c r="K28">
        <v>2</v>
      </c>
    </row>
    <row r="29" spans="1:11" x14ac:dyDescent="0.35">
      <c r="A29" s="6" t="s">
        <v>84</v>
      </c>
      <c r="B29" s="7" t="s">
        <v>22</v>
      </c>
      <c r="C29" s="7" t="s">
        <v>34</v>
      </c>
      <c r="D29" s="7" t="s">
        <v>47</v>
      </c>
      <c r="E29" s="7">
        <v>41448</v>
      </c>
      <c r="F29" s="9">
        <v>42197</v>
      </c>
      <c r="G29" s="10">
        <v>3</v>
      </c>
      <c r="H29" s="7" t="s">
        <v>19</v>
      </c>
      <c r="I29" s="11" t="s">
        <v>85</v>
      </c>
      <c r="J29">
        <v>49282</v>
      </c>
      <c r="K29">
        <v>3</v>
      </c>
    </row>
    <row r="30" spans="1:11" x14ac:dyDescent="0.35">
      <c r="A30" s="6" t="s">
        <v>86</v>
      </c>
      <c r="B30" s="7" t="s">
        <v>25</v>
      </c>
      <c r="C30" s="7" t="s">
        <v>17</v>
      </c>
      <c r="D30" s="7" t="s">
        <v>47</v>
      </c>
      <c r="E30" s="7">
        <v>49282</v>
      </c>
      <c r="F30" s="9">
        <v>42204</v>
      </c>
      <c r="G30" s="10">
        <v>2</v>
      </c>
      <c r="H30" s="7" t="s">
        <v>36</v>
      </c>
      <c r="I30" s="11" t="s">
        <v>87</v>
      </c>
      <c r="J30">
        <v>92959</v>
      </c>
      <c r="K30">
        <v>2</v>
      </c>
    </row>
    <row r="31" spans="1:11" x14ac:dyDescent="0.35">
      <c r="A31" s="6" t="s">
        <v>88</v>
      </c>
      <c r="B31" s="7" t="s">
        <v>54</v>
      </c>
      <c r="C31" s="7" t="s">
        <v>42</v>
      </c>
      <c r="D31" s="7" t="s">
        <v>47</v>
      </c>
      <c r="E31" s="7">
        <v>92959</v>
      </c>
      <c r="F31" s="9">
        <v>42211</v>
      </c>
      <c r="G31" s="10">
        <v>5</v>
      </c>
      <c r="H31" s="7"/>
      <c r="I31" s="11" t="s">
        <v>89</v>
      </c>
      <c r="J31">
        <v>92259</v>
      </c>
      <c r="K31">
        <v>5</v>
      </c>
    </row>
    <row r="32" spans="1:11" x14ac:dyDescent="0.35">
      <c r="A32" s="6" t="s">
        <v>90</v>
      </c>
      <c r="B32" s="7" t="s">
        <v>11</v>
      </c>
      <c r="C32" s="7" t="s">
        <v>42</v>
      </c>
      <c r="D32" s="7"/>
      <c r="E32" s="7">
        <v>92259</v>
      </c>
      <c r="F32" s="14">
        <v>42218</v>
      </c>
      <c r="G32" s="10">
        <v>1</v>
      </c>
      <c r="H32" s="7" t="s">
        <v>11</v>
      </c>
      <c r="I32" s="11" t="s">
        <v>91</v>
      </c>
      <c r="J32">
        <v>92299</v>
      </c>
      <c r="K32">
        <v>1</v>
      </c>
    </row>
    <row r="33" spans="1:11" x14ac:dyDescent="0.35">
      <c r="A33" s="6" t="s">
        <v>92</v>
      </c>
      <c r="B33" s="7" t="s">
        <v>16</v>
      </c>
      <c r="C33" s="7" t="s">
        <v>17</v>
      </c>
      <c r="D33" s="7" t="s">
        <v>18</v>
      </c>
      <c r="E33" s="7">
        <v>92299</v>
      </c>
      <c r="F33" s="9">
        <v>42225</v>
      </c>
      <c r="G33" s="10">
        <v>3</v>
      </c>
      <c r="H33" s="7" t="s">
        <v>28</v>
      </c>
      <c r="I33" s="11" t="s">
        <v>93</v>
      </c>
      <c r="J33">
        <v>95586</v>
      </c>
      <c r="K33">
        <v>3</v>
      </c>
    </row>
    <row r="34" spans="1:11" x14ac:dyDescent="0.35">
      <c r="A34" s="6" t="s">
        <v>94</v>
      </c>
      <c r="B34" s="7" t="s">
        <v>39</v>
      </c>
      <c r="C34" s="7" t="s">
        <v>17</v>
      </c>
      <c r="D34" s="7"/>
      <c r="E34" s="7">
        <v>95586</v>
      </c>
      <c r="F34" s="9">
        <v>42232</v>
      </c>
      <c r="G34" s="10">
        <v>3</v>
      </c>
      <c r="H34" s="7" t="s">
        <v>19</v>
      </c>
      <c r="I34" s="11" t="s">
        <v>95</v>
      </c>
      <c r="J34">
        <v>95367</v>
      </c>
      <c r="K34">
        <v>3</v>
      </c>
    </row>
    <row r="35" spans="1:11" x14ac:dyDescent="0.35">
      <c r="A35" s="6" t="s">
        <v>96</v>
      </c>
      <c r="B35" s="7" t="s">
        <v>41</v>
      </c>
      <c r="C35" s="7"/>
      <c r="D35" s="7" t="s">
        <v>27</v>
      </c>
      <c r="E35" s="7">
        <v>95367</v>
      </c>
      <c r="F35" s="9">
        <v>42239</v>
      </c>
      <c r="G35" s="12">
        <f>IF(ISBLANK(G29), G28, G29)</f>
        <v>3</v>
      </c>
      <c r="H35" s="7" t="s">
        <v>28</v>
      </c>
      <c r="I35" s="11" t="s">
        <v>97</v>
      </c>
      <c r="J35">
        <v>79549</v>
      </c>
      <c r="K35">
        <v>3</v>
      </c>
    </row>
    <row r="36" spans="1:11" x14ac:dyDescent="0.35">
      <c r="A36" s="6" t="s">
        <v>98</v>
      </c>
      <c r="B36" s="7" t="s">
        <v>25</v>
      </c>
      <c r="C36" s="7" t="s">
        <v>26</v>
      </c>
      <c r="D36" s="7" t="s">
        <v>64</v>
      </c>
      <c r="E36" s="7">
        <v>79549</v>
      </c>
      <c r="F36" s="9">
        <v>42246</v>
      </c>
      <c r="G36" s="10">
        <v>3</v>
      </c>
      <c r="H36" s="7"/>
      <c r="I36" s="11" t="s">
        <v>99</v>
      </c>
      <c r="J36">
        <v>54463</v>
      </c>
      <c r="K36">
        <v>3</v>
      </c>
    </row>
    <row r="37" spans="1:11" x14ac:dyDescent="0.35">
      <c r="A37" s="6" t="s">
        <v>100</v>
      </c>
      <c r="B37" s="7" t="s">
        <v>22</v>
      </c>
      <c r="C37" s="7"/>
      <c r="D37" s="7" t="s">
        <v>47</v>
      </c>
      <c r="E37" s="7">
        <v>54463</v>
      </c>
      <c r="F37" s="9">
        <v>42253</v>
      </c>
      <c r="G37" s="10">
        <v>4</v>
      </c>
      <c r="H37" s="7" t="s">
        <v>28</v>
      </c>
      <c r="I37" s="11" t="s">
        <v>14</v>
      </c>
      <c r="J37">
        <v>89781</v>
      </c>
      <c r="K37">
        <v>4</v>
      </c>
    </row>
    <row r="38" spans="1:11" x14ac:dyDescent="0.35">
      <c r="A38" s="6" t="s">
        <v>101</v>
      </c>
      <c r="B38" s="7" t="s">
        <v>22</v>
      </c>
      <c r="C38" s="7" t="s">
        <v>34</v>
      </c>
      <c r="D38" s="7" t="s">
        <v>27</v>
      </c>
      <c r="E38" s="7">
        <v>89781</v>
      </c>
      <c r="F38" s="9">
        <v>42260</v>
      </c>
      <c r="G38" s="12">
        <f>IF(ISBLANK(G32), G31, G32)</f>
        <v>1</v>
      </c>
      <c r="H38" s="7" t="s">
        <v>36</v>
      </c>
      <c r="I38" s="11" t="s">
        <v>102</v>
      </c>
      <c r="J38">
        <v>64796</v>
      </c>
      <c r="K38">
        <v>1</v>
      </c>
    </row>
    <row r="39" spans="1:11" x14ac:dyDescent="0.35">
      <c r="A39" s="6" t="s">
        <v>103</v>
      </c>
      <c r="B39" s="7" t="s">
        <v>22</v>
      </c>
      <c r="C39" s="7" t="s">
        <v>17</v>
      </c>
      <c r="D39" s="7"/>
      <c r="E39" s="7">
        <v>64796</v>
      </c>
      <c r="F39" s="9">
        <v>42267</v>
      </c>
      <c r="G39" s="12">
        <f>IF(ISBLANK(G33), G32, G33)</f>
        <v>3</v>
      </c>
      <c r="H39" s="7" t="s">
        <v>19</v>
      </c>
      <c r="I39" s="11" t="s">
        <v>104</v>
      </c>
      <c r="J39">
        <v>52093</v>
      </c>
      <c r="K39">
        <v>3</v>
      </c>
    </row>
    <row r="40" spans="1:11" x14ac:dyDescent="0.35">
      <c r="A40" s="6" t="s">
        <v>105</v>
      </c>
      <c r="B40" s="7" t="s">
        <v>25</v>
      </c>
      <c r="C40" s="7" t="s">
        <v>42</v>
      </c>
      <c r="D40" s="7" t="s">
        <v>47</v>
      </c>
      <c r="E40" s="7">
        <v>52093</v>
      </c>
      <c r="F40" s="9">
        <v>42274</v>
      </c>
      <c r="G40" s="10">
        <v>5</v>
      </c>
      <c r="H40" s="7"/>
      <c r="I40" s="11" t="s">
        <v>106</v>
      </c>
      <c r="J40">
        <v>48224</v>
      </c>
      <c r="K40">
        <v>5</v>
      </c>
    </row>
    <row r="41" spans="1:11" x14ac:dyDescent="0.35">
      <c r="A41" s="6" t="s">
        <v>107</v>
      </c>
      <c r="B41" s="7" t="s">
        <v>41</v>
      </c>
      <c r="C41" s="7" t="s">
        <v>17</v>
      </c>
      <c r="D41" s="7" t="s">
        <v>47</v>
      </c>
      <c r="E41" s="7">
        <v>48224</v>
      </c>
      <c r="F41" s="9">
        <v>42281</v>
      </c>
      <c r="G41" s="10">
        <v>3</v>
      </c>
      <c r="H41" s="7"/>
      <c r="I41" s="11" t="s">
        <v>108</v>
      </c>
      <c r="J41" s="8">
        <v>66280.929577464791</v>
      </c>
      <c r="K41">
        <v>3</v>
      </c>
    </row>
    <row r="42" spans="1:11" x14ac:dyDescent="0.35">
      <c r="A42" s="6" t="s">
        <v>109</v>
      </c>
      <c r="B42" s="7" t="s">
        <v>54</v>
      </c>
      <c r="C42" s="7" t="s">
        <v>12</v>
      </c>
      <c r="D42" s="7" t="s">
        <v>47</v>
      </c>
      <c r="E42" s="8">
        <f ca="1">AVERAGE(Table14[Salary])</f>
        <v>66280.929577464791</v>
      </c>
      <c r="F42" s="14">
        <v>42288</v>
      </c>
      <c r="G42" s="10">
        <v>4</v>
      </c>
      <c r="H42" s="7" t="s">
        <v>36</v>
      </c>
      <c r="I42" s="11" t="s">
        <v>110</v>
      </c>
      <c r="J42">
        <v>33956</v>
      </c>
      <c r="K42">
        <v>4</v>
      </c>
    </row>
    <row r="43" spans="1:11" x14ac:dyDescent="0.35">
      <c r="A43" s="6" t="s">
        <v>111</v>
      </c>
      <c r="B43" s="7" t="s">
        <v>22</v>
      </c>
      <c r="C43" s="7" t="s">
        <v>34</v>
      </c>
      <c r="D43" s="7" t="s">
        <v>18</v>
      </c>
      <c r="E43" s="7">
        <v>33956</v>
      </c>
      <c r="F43" s="9">
        <v>42295</v>
      </c>
      <c r="G43" s="12">
        <f>IF(ISBLANK(G37), G36, G37)</f>
        <v>4</v>
      </c>
      <c r="H43" s="7"/>
      <c r="I43" s="11" t="s">
        <v>112</v>
      </c>
      <c r="J43">
        <v>64913</v>
      </c>
      <c r="K43">
        <v>4</v>
      </c>
    </row>
    <row r="44" spans="1:11" x14ac:dyDescent="0.35">
      <c r="A44" s="6" t="s">
        <v>113</v>
      </c>
      <c r="B44" s="7" t="s">
        <v>54</v>
      </c>
      <c r="C44" s="7"/>
      <c r="D44" s="7" t="s">
        <v>64</v>
      </c>
      <c r="E44" s="7">
        <v>64913</v>
      </c>
      <c r="F44" s="9">
        <v>42302</v>
      </c>
      <c r="G44" s="10">
        <v>1</v>
      </c>
      <c r="H44" s="7" t="s">
        <v>36</v>
      </c>
      <c r="I44" s="11" t="s">
        <v>114</v>
      </c>
      <c r="J44">
        <v>35326</v>
      </c>
      <c r="K44">
        <v>1</v>
      </c>
    </row>
    <row r="45" spans="1:11" x14ac:dyDescent="0.35">
      <c r="A45" s="6" t="s">
        <v>115</v>
      </c>
      <c r="B45" s="7" t="s">
        <v>22</v>
      </c>
      <c r="C45" s="7" t="s">
        <v>42</v>
      </c>
      <c r="D45" s="7" t="s">
        <v>64</v>
      </c>
      <c r="E45" s="7">
        <v>35326</v>
      </c>
      <c r="F45" s="9">
        <v>42309</v>
      </c>
      <c r="G45" s="12">
        <f>IF(ISBLANK(G39), G38, G39)</f>
        <v>3</v>
      </c>
      <c r="H45" s="7" t="s">
        <v>36</v>
      </c>
      <c r="I45" s="11" t="s">
        <v>116</v>
      </c>
      <c r="J45">
        <v>81610</v>
      </c>
      <c r="K45">
        <v>3</v>
      </c>
    </row>
    <row r="46" spans="1:11" x14ac:dyDescent="0.35">
      <c r="A46" s="6" t="s">
        <v>117</v>
      </c>
      <c r="B46" s="7" t="s">
        <v>41</v>
      </c>
      <c r="C46" s="7" t="s">
        <v>12</v>
      </c>
      <c r="D46" s="7"/>
      <c r="E46" s="7">
        <v>81610</v>
      </c>
      <c r="F46" s="9">
        <v>42316</v>
      </c>
      <c r="G46" s="10">
        <v>1</v>
      </c>
      <c r="H46" s="7"/>
      <c r="I46" s="11" t="s">
        <v>118</v>
      </c>
      <c r="J46">
        <v>58962</v>
      </c>
      <c r="K46">
        <v>1</v>
      </c>
    </row>
    <row r="47" spans="1:11" x14ac:dyDescent="0.35">
      <c r="A47" s="6" t="s">
        <v>119</v>
      </c>
      <c r="B47" s="7" t="s">
        <v>11</v>
      </c>
      <c r="C47" s="7" t="s">
        <v>17</v>
      </c>
      <c r="D47" s="7"/>
      <c r="E47" s="7">
        <v>58962</v>
      </c>
      <c r="F47" s="9">
        <v>42323</v>
      </c>
      <c r="G47" s="10">
        <v>3</v>
      </c>
      <c r="H47" s="7" t="s">
        <v>19</v>
      </c>
      <c r="I47" s="11" t="s">
        <v>20</v>
      </c>
      <c r="J47">
        <v>92701</v>
      </c>
      <c r="K47">
        <v>3</v>
      </c>
    </row>
    <row r="48" spans="1:11" x14ac:dyDescent="0.35">
      <c r="A48" s="6" t="s">
        <v>120</v>
      </c>
      <c r="B48" s="7" t="s">
        <v>41</v>
      </c>
      <c r="C48" s="7" t="s">
        <v>34</v>
      </c>
      <c r="D48" s="7" t="s">
        <v>18</v>
      </c>
      <c r="E48" s="7">
        <v>92701</v>
      </c>
      <c r="F48" s="9">
        <v>42330</v>
      </c>
      <c r="G48" s="10">
        <v>3</v>
      </c>
      <c r="H48" s="7" t="s">
        <v>19</v>
      </c>
      <c r="I48" s="11" t="s">
        <v>121</v>
      </c>
      <c r="J48">
        <v>58245</v>
      </c>
      <c r="K48">
        <v>3</v>
      </c>
    </row>
    <row r="49" spans="1:11" x14ac:dyDescent="0.35">
      <c r="A49" s="6" t="s">
        <v>122</v>
      </c>
      <c r="B49" s="7" t="s">
        <v>41</v>
      </c>
      <c r="C49" s="7" t="s">
        <v>17</v>
      </c>
      <c r="D49" s="7" t="s">
        <v>35</v>
      </c>
      <c r="E49" s="7">
        <v>58245</v>
      </c>
      <c r="F49" s="9">
        <v>42337</v>
      </c>
      <c r="G49" s="10">
        <v>4</v>
      </c>
      <c r="H49" s="7"/>
      <c r="I49" s="11" t="s">
        <v>123</v>
      </c>
      <c r="J49">
        <v>66513</v>
      </c>
      <c r="K49">
        <v>4</v>
      </c>
    </row>
    <row r="50" spans="1:11" x14ac:dyDescent="0.35">
      <c r="A50" s="6" t="s">
        <v>124</v>
      </c>
      <c r="B50" s="7" t="s">
        <v>25</v>
      </c>
      <c r="C50" s="7" t="s">
        <v>12</v>
      </c>
      <c r="D50" s="7"/>
      <c r="E50" s="7">
        <v>66513</v>
      </c>
      <c r="F50" s="9">
        <v>42344</v>
      </c>
      <c r="G50" s="10">
        <v>2</v>
      </c>
      <c r="H50" s="7" t="s">
        <v>19</v>
      </c>
      <c r="I50" s="11" t="s">
        <v>37</v>
      </c>
      <c r="J50">
        <v>78720</v>
      </c>
      <c r="K50">
        <v>2</v>
      </c>
    </row>
    <row r="51" spans="1:11" x14ac:dyDescent="0.35">
      <c r="A51" s="6" t="s">
        <v>125</v>
      </c>
      <c r="B51" s="7" t="s">
        <v>16</v>
      </c>
      <c r="C51" s="7" t="s">
        <v>17</v>
      </c>
      <c r="D51" s="7" t="s">
        <v>18</v>
      </c>
      <c r="E51" s="7">
        <v>78720</v>
      </c>
      <c r="F51" s="9">
        <v>42351</v>
      </c>
      <c r="G51" s="10">
        <v>5</v>
      </c>
      <c r="H51" s="7" t="s">
        <v>36</v>
      </c>
      <c r="I51" s="11" t="s">
        <v>110</v>
      </c>
      <c r="J51">
        <v>30686</v>
      </c>
      <c r="K51">
        <v>5</v>
      </c>
    </row>
    <row r="52" spans="1:11" x14ac:dyDescent="0.35">
      <c r="A52" s="6" t="s">
        <v>126</v>
      </c>
      <c r="B52" s="7" t="s">
        <v>41</v>
      </c>
      <c r="C52" s="7"/>
      <c r="D52" s="7" t="s">
        <v>13</v>
      </c>
      <c r="E52" s="7">
        <v>30686</v>
      </c>
      <c r="F52" s="14">
        <v>42358</v>
      </c>
      <c r="G52" s="10">
        <v>2</v>
      </c>
      <c r="H52" s="7" t="s">
        <v>36</v>
      </c>
      <c r="I52" s="11" t="s">
        <v>127</v>
      </c>
      <c r="J52">
        <v>39423</v>
      </c>
      <c r="K52">
        <v>2</v>
      </c>
    </row>
    <row r="53" spans="1:11" x14ac:dyDescent="0.35">
      <c r="A53" s="6" t="s">
        <v>128</v>
      </c>
      <c r="B53" s="7" t="s">
        <v>39</v>
      </c>
      <c r="C53" s="7" t="s">
        <v>26</v>
      </c>
      <c r="D53" s="7" t="s">
        <v>35</v>
      </c>
      <c r="E53" s="7">
        <v>39423</v>
      </c>
      <c r="F53" s="9">
        <v>42365</v>
      </c>
      <c r="G53" s="10">
        <v>5</v>
      </c>
      <c r="H53" s="7"/>
      <c r="I53" s="11" t="s">
        <v>129</v>
      </c>
      <c r="J53">
        <v>30280</v>
      </c>
      <c r="K53">
        <v>5</v>
      </c>
    </row>
    <row r="54" spans="1:11" x14ac:dyDescent="0.35">
      <c r="A54" s="6" t="s">
        <v>130</v>
      </c>
      <c r="B54" s="7" t="s">
        <v>16</v>
      </c>
      <c r="C54" s="7" t="s">
        <v>42</v>
      </c>
      <c r="D54" s="7"/>
      <c r="E54" s="7">
        <v>30280</v>
      </c>
      <c r="F54" s="9">
        <v>42372</v>
      </c>
      <c r="G54" s="10">
        <v>1</v>
      </c>
      <c r="H54" s="7"/>
      <c r="I54" s="11" t="s">
        <v>131</v>
      </c>
      <c r="J54">
        <v>33352</v>
      </c>
      <c r="K54">
        <v>1</v>
      </c>
    </row>
    <row r="55" spans="1:11" x14ac:dyDescent="0.35">
      <c r="A55" s="6" t="s">
        <v>132</v>
      </c>
      <c r="B55" s="7" t="s">
        <v>16</v>
      </c>
      <c r="C55" s="7" t="s">
        <v>12</v>
      </c>
      <c r="D55" s="7" t="s">
        <v>47</v>
      </c>
      <c r="E55" s="7">
        <v>33352</v>
      </c>
      <c r="F55" s="9">
        <v>42379</v>
      </c>
      <c r="G55" s="10">
        <v>3</v>
      </c>
      <c r="H55" s="7" t="s">
        <v>36</v>
      </c>
      <c r="I55" s="11" t="s">
        <v>71</v>
      </c>
      <c r="J55">
        <v>75633</v>
      </c>
      <c r="K55">
        <v>3</v>
      </c>
    </row>
    <row r="56" spans="1:11" x14ac:dyDescent="0.35">
      <c r="A56" s="6" t="s">
        <v>133</v>
      </c>
      <c r="B56" s="7" t="s">
        <v>54</v>
      </c>
      <c r="C56" s="7" t="s">
        <v>42</v>
      </c>
      <c r="D56" s="7" t="s">
        <v>47</v>
      </c>
      <c r="E56" s="7">
        <v>75633</v>
      </c>
      <c r="F56" s="9">
        <v>42386</v>
      </c>
      <c r="G56" s="10">
        <v>5</v>
      </c>
      <c r="H56" s="7" t="s">
        <v>19</v>
      </c>
      <c r="I56" s="11" t="s">
        <v>134</v>
      </c>
      <c r="J56">
        <v>74815</v>
      </c>
      <c r="K56">
        <v>5</v>
      </c>
    </row>
    <row r="57" spans="1:11" x14ac:dyDescent="0.35">
      <c r="A57" s="6" t="s">
        <v>135</v>
      </c>
      <c r="B57" s="7" t="s">
        <v>41</v>
      </c>
      <c r="C57" s="7"/>
      <c r="D57" s="7" t="s">
        <v>27</v>
      </c>
      <c r="E57" s="7">
        <v>74815</v>
      </c>
      <c r="F57" s="9">
        <v>42393</v>
      </c>
      <c r="G57" s="10">
        <v>5</v>
      </c>
      <c r="H57" s="7" t="s">
        <v>36</v>
      </c>
      <c r="I57" s="11" t="s">
        <v>136</v>
      </c>
      <c r="J57">
        <v>60011</v>
      </c>
      <c r="K57">
        <v>5</v>
      </c>
    </row>
    <row r="58" spans="1:11" x14ac:dyDescent="0.35">
      <c r="A58" s="6" t="s">
        <v>137</v>
      </c>
      <c r="B58" s="7" t="s">
        <v>25</v>
      </c>
      <c r="C58" s="7" t="s">
        <v>26</v>
      </c>
      <c r="D58" s="7" t="s">
        <v>64</v>
      </c>
      <c r="E58" s="7">
        <v>60011</v>
      </c>
      <c r="F58" s="9">
        <v>42400</v>
      </c>
      <c r="G58" s="10">
        <v>1</v>
      </c>
      <c r="H58" s="7" t="s">
        <v>28</v>
      </c>
      <c r="I58" s="11" t="s">
        <v>138</v>
      </c>
      <c r="J58">
        <v>96949</v>
      </c>
      <c r="K58">
        <v>1</v>
      </c>
    </row>
    <row r="59" spans="1:11" x14ac:dyDescent="0.35">
      <c r="A59" s="6" t="s">
        <v>139</v>
      </c>
      <c r="B59" s="7" t="s">
        <v>16</v>
      </c>
      <c r="C59" s="7"/>
      <c r="D59" s="7" t="s">
        <v>35</v>
      </c>
      <c r="E59" s="7">
        <v>96949</v>
      </c>
      <c r="F59" s="9">
        <v>42407</v>
      </c>
      <c r="G59" s="10">
        <v>3</v>
      </c>
      <c r="H59" s="7"/>
      <c r="I59" s="11" t="s">
        <v>85</v>
      </c>
      <c r="J59">
        <v>84924</v>
      </c>
      <c r="K59">
        <v>3</v>
      </c>
    </row>
    <row r="60" spans="1:11" x14ac:dyDescent="0.35">
      <c r="A60" s="6" t="s">
        <v>140</v>
      </c>
      <c r="B60" s="7" t="s">
        <v>39</v>
      </c>
      <c r="C60" s="7" t="s">
        <v>42</v>
      </c>
      <c r="D60" s="7"/>
      <c r="E60" s="7">
        <v>84924</v>
      </c>
      <c r="F60" s="9">
        <v>42414</v>
      </c>
      <c r="G60" s="10">
        <v>5</v>
      </c>
      <c r="H60" s="7" t="s">
        <v>28</v>
      </c>
      <c r="I60" s="11" t="s">
        <v>141</v>
      </c>
      <c r="J60">
        <v>82033</v>
      </c>
      <c r="K60">
        <v>5</v>
      </c>
    </row>
    <row r="61" spans="1:11" x14ac:dyDescent="0.35">
      <c r="A61" s="6" t="s">
        <v>142</v>
      </c>
      <c r="B61" s="7" t="s">
        <v>39</v>
      </c>
      <c r="C61" s="7" t="s">
        <v>12</v>
      </c>
      <c r="D61" s="7" t="s">
        <v>27</v>
      </c>
      <c r="E61" s="7">
        <v>82033</v>
      </c>
      <c r="F61" s="9">
        <v>42421</v>
      </c>
      <c r="G61" s="10">
        <v>1</v>
      </c>
      <c r="H61" s="7"/>
      <c r="I61" s="11" t="s">
        <v>118</v>
      </c>
      <c r="J61" s="8">
        <v>66280.929577464791</v>
      </c>
      <c r="K61">
        <v>1</v>
      </c>
    </row>
    <row r="62" spans="1:11" x14ac:dyDescent="0.35">
      <c r="A62" s="6" t="s">
        <v>143</v>
      </c>
      <c r="B62" s="7" t="s">
        <v>11</v>
      </c>
      <c r="C62" s="7" t="s">
        <v>42</v>
      </c>
      <c r="D62" s="7" t="s">
        <v>18</v>
      </c>
      <c r="E62" s="8">
        <f ca="1">AVERAGE(Table14[Salary])</f>
        <v>66280.929577464791</v>
      </c>
      <c r="F62" s="14">
        <v>42428</v>
      </c>
      <c r="G62" s="10">
        <v>5</v>
      </c>
      <c r="H62" s="7" t="s">
        <v>11</v>
      </c>
      <c r="I62" s="11" t="s">
        <v>144</v>
      </c>
      <c r="J62">
        <v>31499</v>
      </c>
      <c r="K62">
        <v>5</v>
      </c>
    </row>
    <row r="63" spans="1:11" x14ac:dyDescent="0.35">
      <c r="A63" s="6" t="s">
        <v>145</v>
      </c>
      <c r="B63" s="7" t="s">
        <v>16</v>
      </c>
      <c r="C63" s="7"/>
      <c r="D63" s="7" t="s">
        <v>64</v>
      </c>
      <c r="E63" s="7">
        <v>31499</v>
      </c>
      <c r="F63" s="9">
        <v>42435</v>
      </c>
      <c r="G63" s="10">
        <v>2</v>
      </c>
      <c r="H63" s="7"/>
      <c r="I63" s="11" t="s">
        <v>102</v>
      </c>
      <c r="J63">
        <v>97981</v>
      </c>
      <c r="K63">
        <v>2</v>
      </c>
    </row>
    <row r="64" spans="1:11" x14ac:dyDescent="0.35">
      <c r="A64" s="6" t="s">
        <v>146</v>
      </c>
      <c r="B64" s="7" t="s">
        <v>41</v>
      </c>
      <c r="C64" s="7" t="s">
        <v>34</v>
      </c>
      <c r="D64" s="7" t="s">
        <v>47</v>
      </c>
      <c r="E64" s="7">
        <v>97981</v>
      </c>
      <c r="F64" s="9">
        <v>42442</v>
      </c>
      <c r="G64" s="10">
        <v>5</v>
      </c>
      <c r="H64" s="7" t="s">
        <v>36</v>
      </c>
      <c r="I64" s="11" t="s">
        <v>147</v>
      </c>
      <c r="J64">
        <v>36541</v>
      </c>
      <c r="K64">
        <v>5</v>
      </c>
    </row>
    <row r="65" spans="1:11" x14ac:dyDescent="0.35">
      <c r="A65" s="6" t="s">
        <v>148</v>
      </c>
      <c r="B65" s="7" t="s">
        <v>16</v>
      </c>
      <c r="C65" s="7" t="s">
        <v>17</v>
      </c>
      <c r="D65" s="7" t="s">
        <v>27</v>
      </c>
      <c r="E65" s="7">
        <v>36541</v>
      </c>
      <c r="F65" s="9">
        <v>42449</v>
      </c>
      <c r="G65" s="10">
        <v>2</v>
      </c>
      <c r="H65" s="7" t="s">
        <v>19</v>
      </c>
      <c r="I65" s="11" t="s">
        <v>149</v>
      </c>
      <c r="J65">
        <v>84737</v>
      </c>
      <c r="K65">
        <v>2</v>
      </c>
    </row>
    <row r="66" spans="1:11" x14ac:dyDescent="0.35">
      <c r="A66" s="6" t="s">
        <v>150</v>
      </c>
      <c r="B66" s="7" t="s">
        <v>25</v>
      </c>
      <c r="C66" s="7" t="s">
        <v>34</v>
      </c>
      <c r="D66" s="7" t="s">
        <v>35</v>
      </c>
      <c r="E66" s="7">
        <v>84737</v>
      </c>
      <c r="F66" s="9">
        <v>42456</v>
      </c>
      <c r="G66" s="10">
        <v>1</v>
      </c>
      <c r="H66" s="7" t="s">
        <v>28</v>
      </c>
      <c r="I66" s="11" t="s">
        <v>151</v>
      </c>
      <c r="J66">
        <v>33468</v>
      </c>
      <c r="K66">
        <v>1</v>
      </c>
    </row>
    <row r="67" spans="1:11" x14ac:dyDescent="0.35">
      <c r="A67" s="6" t="s">
        <v>152</v>
      </c>
      <c r="B67" s="7" t="s">
        <v>39</v>
      </c>
      <c r="C67" s="7" t="s">
        <v>12</v>
      </c>
      <c r="D67" s="7" t="s">
        <v>35</v>
      </c>
      <c r="E67" s="7">
        <v>33468</v>
      </c>
      <c r="F67" s="9">
        <v>42463</v>
      </c>
      <c r="G67" s="10">
        <v>4</v>
      </c>
      <c r="H67" s="7" t="s">
        <v>28</v>
      </c>
      <c r="I67" s="11" t="s">
        <v>153</v>
      </c>
      <c r="J67">
        <v>96365</v>
      </c>
      <c r="K67">
        <v>4</v>
      </c>
    </row>
    <row r="68" spans="1:11" x14ac:dyDescent="0.35">
      <c r="A68" s="6" t="s">
        <v>154</v>
      </c>
      <c r="B68" s="7" t="s">
        <v>39</v>
      </c>
      <c r="C68" s="7"/>
      <c r="D68" s="7" t="s">
        <v>64</v>
      </c>
      <c r="E68" s="7">
        <v>96365</v>
      </c>
      <c r="F68" s="9">
        <v>42470</v>
      </c>
      <c r="G68" s="10">
        <v>3</v>
      </c>
      <c r="H68" s="7" t="s">
        <v>19</v>
      </c>
      <c r="I68" s="11" t="s">
        <v>155</v>
      </c>
      <c r="J68">
        <v>61942</v>
      </c>
      <c r="K68">
        <v>3</v>
      </c>
    </row>
    <row r="69" spans="1:11" x14ac:dyDescent="0.35">
      <c r="A69" s="6" t="s">
        <v>156</v>
      </c>
      <c r="B69" s="7" t="s">
        <v>22</v>
      </c>
      <c r="C69" s="7" t="s">
        <v>26</v>
      </c>
      <c r="D69" s="7" t="s">
        <v>35</v>
      </c>
      <c r="E69" s="7">
        <v>61942</v>
      </c>
      <c r="F69" s="9">
        <v>42477</v>
      </c>
      <c r="G69" s="10">
        <v>3</v>
      </c>
      <c r="H69" s="7" t="s">
        <v>36</v>
      </c>
      <c r="I69" s="11" t="s">
        <v>157</v>
      </c>
      <c r="J69">
        <v>41467</v>
      </c>
      <c r="K69">
        <v>3</v>
      </c>
    </row>
    <row r="70" spans="1:11" x14ac:dyDescent="0.35">
      <c r="A70" s="6" t="s">
        <v>158</v>
      </c>
      <c r="B70" s="7" t="s">
        <v>39</v>
      </c>
      <c r="C70" s="7" t="s">
        <v>12</v>
      </c>
      <c r="D70" s="7" t="s">
        <v>47</v>
      </c>
      <c r="E70" s="7">
        <v>41467</v>
      </c>
      <c r="F70" s="9">
        <v>42484</v>
      </c>
      <c r="G70" s="10">
        <v>2</v>
      </c>
      <c r="H70" s="7"/>
      <c r="I70" s="11" t="s">
        <v>73</v>
      </c>
      <c r="J70">
        <v>77096</v>
      </c>
      <c r="K70">
        <v>2</v>
      </c>
    </row>
    <row r="71" spans="1:11" x14ac:dyDescent="0.35">
      <c r="A71" s="6" t="s">
        <v>159</v>
      </c>
      <c r="B71" s="7" t="s">
        <v>54</v>
      </c>
      <c r="C71" s="7" t="s">
        <v>12</v>
      </c>
      <c r="D71" s="7" t="s">
        <v>35</v>
      </c>
      <c r="E71" s="7">
        <v>77096</v>
      </c>
      <c r="F71" s="9">
        <v>42491</v>
      </c>
      <c r="G71" s="10">
        <v>1</v>
      </c>
      <c r="H71" s="7"/>
      <c r="I71" s="11" t="s">
        <v>160</v>
      </c>
      <c r="J71">
        <v>69952</v>
      </c>
      <c r="K71">
        <v>1</v>
      </c>
    </row>
    <row r="72" spans="1:11" x14ac:dyDescent="0.35">
      <c r="A72" s="6" t="s">
        <v>161</v>
      </c>
      <c r="B72" s="7" t="s">
        <v>16</v>
      </c>
      <c r="C72" s="7" t="s">
        <v>26</v>
      </c>
      <c r="D72" s="7" t="s">
        <v>64</v>
      </c>
      <c r="E72" s="7">
        <v>69952</v>
      </c>
      <c r="F72" s="9">
        <v>42498</v>
      </c>
      <c r="G72" s="10">
        <v>5</v>
      </c>
      <c r="H72" s="7" t="s">
        <v>36</v>
      </c>
      <c r="I72" s="11" t="s">
        <v>14</v>
      </c>
      <c r="J72">
        <v>85065</v>
      </c>
      <c r="K72">
        <v>5</v>
      </c>
    </row>
    <row r="73" spans="1:11" x14ac:dyDescent="0.35">
      <c r="A73" s="6" t="s">
        <v>162</v>
      </c>
      <c r="B73" s="7" t="s">
        <v>16</v>
      </c>
      <c r="C73" s="7" t="s">
        <v>42</v>
      </c>
      <c r="D73" s="7" t="s">
        <v>27</v>
      </c>
      <c r="E73" s="7">
        <v>85065</v>
      </c>
      <c r="F73" s="9">
        <v>42505</v>
      </c>
      <c r="G73" s="10">
        <v>3</v>
      </c>
      <c r="H73" s="7"/>
      <c r="I73" s="11" t="s">
        <v>163</v>
      </c>
      <c r="J73">
        <v>56512</v>
      </c>
      <c r="K73">
        <v>3</v>
      </c>
    </row>
    <row r="74" spans="1:11" x14ac:dyDescent="0.35">
      <c r="A74" s="6" t="s">
        <v>164</v>
      </c>
      <c r="B74" s="7" t="s">
        <v>54</v>
      </c>
      <c r="C74" s="7" t="s">
        <v>42</v>
      </c>
      <c r="D74" s="7" t="s">
        <v>35</v>
      </c>
      <c r="E74" s="7">
        <v>56512</v>
      </c>
      <c r="F74" s="9">
        <v>42512</v>
      </c>
      <c r="G74" s="12">
        <f>IF(ISBLANK(G68), G67, G68)</f>
        <v>3</v>
      </c>
      <c r="H74" s="7" t="s">
        <v>19</v>
      </c>
      <c r="I74" s="11" t="s">
        <v>48</v>
      </c>
      <c r="J74">
        <v>91101</v>
      </c>
      <c r="K74">
        <v>3</v>
      </c>
    </row>
    <row r="75" spans="1:11" x14ac:dyDescent="0.35">
      <c r="A75" s="6" t="s">
        <v>165</v>
      </c>
      <c r="B75" s="7" t="s">
        <v>25</v>
      </c>
      <c r="C75" s="7" t="s">
        <v>26</v>
      </c>
      <c r="D75" s="7" t="s">
        <v>35</v>
      </c>
      <c r="E75" s="7">
        <v>91101</v>
      </c>
      <c r="F75" s="9">
        <v>42519</v>
      </c>
      <c r="G75" s="10">
        <v>4</v>
      </c>
      <c r="H75" s="7" t="s">
        <v>36</v>
      </c>
      <c r="I75" s="11" t="s">
        <v>147</v>
      </c>
      <c r="J75">
        <v>41243</v>
      </c>
      <c r="K75">
        <v>4</v>
      </c>
    </row>
    <row r="76" spans="1:11" x14ac:dyDescent="0.35">
      <c r="A76" s="6" t="s">
        <v>166</v>
      </c>
      <c r="B76" s="7" t="s">
        <v>39</v>
      </c>
      <c r="C76" s="7"/>
      <c r="D76" s="7" t="s">
        <v>18</v>
      </c>
      <c r="E76" s="7">
        <v>41243</v>
      </c>
      <c r="F76" s="9">
        <v>42526</v>
      </c>
      <c r="G76" s="12">
        <f>IF(ISBLANK(G70), G69, G70)</f>
        <v>2</v>
      </c>
      <c r="H76" s="7"/>
      <c r="I76" s="11" t="s">
        <v>93</v>
      </c>
      <c r="J76">
        <v>96142</v>
      </c>
      <c r="K76">
        <v>2</v>
      </c>
    </row>
    <row r="77" spans="1:11" x14ac:dyDescent="0.35">
      <c r="A77" s="6" t="s">
        <v>167</v>
      </c>
      <c r="B77" s="7" t="s">
        <v>11</v>
      </c>
      <c r="C77" s="7" t="s">
        <v>26</v>
      </c>
      <c r="D77" s="7" t="s">
        <v>13</v>
      </c>
      <c r="E77" s="7">
        <v>96142</v>
      </c>
      <c r="F77" s="9">
        <v>42533</v>
      </c>
      <c r="G77" s="10">
        <v>1</v>
      </c>
      <c r="H77" s="7" t="s">
        <v>19</v>
      </c>
      <c r="I77" s="11" t="s">
        <v>168</v>
      </c>
      <c r="J77">
        <v>94301</v>
      </c>
      <c r="K77">
        <v>1</v>
      </c>
    </row>
    <row r="78" spans="1:11" x14ac:dyDescent="0.35">
      <c r="A78" s="6" t="s">
        <v>169</v>
      </c>
      <c r="B78" s="7" t="s">
        <v>16</v>
      </c>
      <c r="C78" s="7" t="s">
        <v>34</v>
      </c>
      <c r="D78" s="7" t="s">
        <v>35</v>
      </c>
      <c r="E78" s="7">
        <v>94301</v>
      </c>
      <c r="F78" s="9">
        <v>42540</v>
      </c>
      <c r="G78" s="10">
        <v>1</v>
      </c>
      <c r="H78" s="7" t="s">
        <v>28</v>
      </c>
      <c r="I78" s="11" t="s">
        <v>118</v>
      </c>
      <c r="J78">
        <v>69166</v>
      </c>
      <c r="K78">
        <v>1</v>
      </c>
    </row>
    <row r="79" spans="1:11" x14ac:dyDescent="0.35">
      <c r="A79" s="6" t="s">
        <v>170</v>
      </c>
      <c r="B79" s="7" t="s">
        <v>31</v>
      </c>
      <c r="C79" s="7"/>
      <c r="D79" s="7" t="s">
        <v>47</v>
      </c>
      <c r="E79" s="7">
        <v>69166</v>
      </c>
      <c r="F79" s="9">
        <v>42547</v>
      </c>
      <c r="G79" s="10">
        <v>1</v>
      </c>
      <c r="H79" s="7" t="s">
        <v>36</v>
      </c>
      <c r="I79" s="11" t="s">
        <v>171</v>
      </c>
      <c r="J79">
        <v>78245</v>
      </c>
      <c r="K79">
        <v>1</v>
      </c>
    </row>
    <row r="80" spans="1:11" x14ac:dyDescent="0.35">
      <c r="A80" s="6" t="s">
        <v>172</v>
      </c>
      <c r="B80" s="7" t="s">
        <v>39</v>
      </c>
      <c r="C80" s="7"/>
      <c r="D80" s="7" t="s">
        <v>47</v>
      </c>
      <c r="E80" s="7">
        <v>78245</v>
      </c>
      <c r="F80" s="9">
        <v>42554</v>
      </c>
      <c r="G80" s="10">
        <v>2</v>
      </c>
      <c r="H80" s="7"/>
      <c r="I80" s="11" t="s">
        <v>173</v>
      </c>
      <c r="J80">
        <v>66079</v>
      </c>
      <c r="K80">
        <v>2</v>
      </c>
    </row>
    <row r="81" spans="1:11" x14ac:dyDescent="0.35">
      <c r="A81" s="6" t="s">
        <v>174</v>
      </c>
      <c r="B81" s="7" t="s">
        <v>41</v>
      </c>
      <c r="C81" s="7" t="s">
        <v>26</v>
      </c>
      <c r="D81" s="7" t="s">
        <v>27</v>
      </c>
      <c r="E81" s="7">
        <v>66079</v>
      </c>
      <c r="F81" s="9">
        <v>42561</v>
      </c>
      <c r="G81" s="10">
        <v>2</v>
      </c>
      <c r="H81" s="7" t="s">
        <v>19</v>
      </c>
      <c r="I81" s="11" t="s">
        <v>175</v>
      </c>
      <c r="J81" s="8">
        <v>66280.929577464791</v>
      </c>
      <c r="K81">
        <v>2</v>
      </c>
    </row>
    <row r="82" spans="1:11" x14ac:dyDescent="0.35">
      <c r="A82" s="6" t="s">
        <v>176</v>
      </c>
      <c r="B82" s="7" t="s">
        <v>16</v>
      </c>
      <c r="C82" s="7" t="s">
        <v>42</v>
      </c>
      <c r="D82" s="7" t="s">
        <v>35</v>
      </c>
      <c r="E82" s="8">
        <f ca="1">AVERAGE(Table14[Salary])</f>
        <v>66280.929577464791</v>
      </c>
      <c r="F82" s="14">
        <v>42568</v>
      </c>
      <c r="G82" s="12">
        <f>IF(ISBLANK(G76), G75, G76)</f>
        <v>2</v>
      </c>
      <c r="H82" s="7"/>
      <c r="I82" s="11" t="s">
        <v>87</v>
      </c>
      <c r="J82">
        <v>95621</v>
      </c>
      <c r="K82">
        <v>2</v>
      </c>
    </row>
    <row r="83" spans="1:11" x14ac:dyDescent="0.35">
      <c r="A83" s="6" t="s">
        <v>177</v>
      </c>
      <c r="B83" s="7" t="s">
        <v>31</v>
      </c>
      <c r="C83" s="7" t="s">
        <v>26</v>
      </c>
      <c r="D83" s="7" t="s">
        <v>27</v>
      </c>
      <c r="E83" s="7">
        <v>95621</v>
      </c>
      <c r="F83" s="9">
        <v>42575</v>
      </c>
      <c r="G83" s="10">
        <v>3</v>
      </c>
      <c r="H83" s="7" t="s">
        <v>36</v>
      </c>
      <c r="I83" s="11" t="s">
        <v>178</v>
      </c>
      <c r="J83">
        <v>42262</v>
      </c>
      <c r="K83">
        <v>3</v>
      </c>
    </row>
    <row r="84" spans="1:11" x14ac:dyDescent="0.35">
      <c r="A84" s="6" t="s">
        <v>179</v>
      </c>
      <c r="B84" s="7" t="s">
        <v>16</v>
      </c>
      <c r="C84" s="7" t="s">
        <v>34</v>
      </c>
      <c r="D84" s="7" t="s">
        <v>47</v>
      </c>
      <c r="E84" s="7">
        <v>42262</v>
      </c>
      <c r="F84" s="9">
        <v>42582</v>
      </c>
      <c r="G84" s="10">
        <v>1</v>
      </c>
      <c r="H84" s="7"/>
      <c r="I84" s="11" t="s">
        <v>180</v>
      </c>
      <c r="J84">
        <v>99621</v>
      </c>
      <c r="K84">
        <v>1</v>
      </c>
    </row>
    <row r="85" spans="1:11" x14ac:dyDescent="0.35">
      <c r="A85" s="6" t="s">
        <v>181</v>
      </c>
      <c r="B85" s="7" t="s">
        <v>39</v>
      </c>
      <c r="C85" s="7" t="s">
        <v>26</v>
      </c>
      <c r="D85" s="7" t="s">
        <v>35</v>
      </c>
      <c r="E85" s="7">
        <v>99621</v>
      </c>
      <c r="F85" s="9">
        <v>42589</v>
      </c>
      <c r="G85" s="12">
        <f>IF(ISBLANK(G79), G78, G79)</f>
        <v>1</v>
      </c>
      <c r="H85" s="7" t="s">
        <v>19</v>
      </c>
      <c r="I85" s="11" t="s">
        <v>182</v>
      </c>
      <c r="J85">
        <v>44682</v>
      </c>
      <c r="K85">
        <v>1</v>
      </c>
    </row>
    <row r="86" spans="1:11" x14ac:dyDescent="0.35">
      <c r="A86" s="6" t="s">
        <v>183</v>
      </c>
      <c r="B86" s="7" t="s">
        <v>25</v>
      </c>
      <c r="C86" s="7" t="s">
        <v>42</v>
      </c>
      <c r="D86" s="7" t="s">
        <v>35</v>
      </c>
      <c r="E86" s="7">
        <v>44682</v>
      </c>
      <c r="F86" s="9">
        <v>42596</v>
      </c>
      <c r="G86" s="10">
        <v>4</v>
      </c>
      <c r="H86" s="7" t="s">
        <v>36</v>
      </c>
      <c r="I86" s="11" t="s">
        <v>112</v>
      </c>
      <c r="J86">
        <v>35163</v>
      </c>
      <c r="K86">
        <v>4</v>
      </c>
    </row>
    <row r="87" spans="1:11" x14ac:dyDescent="0.35">
      <c r="A87" s="6" t="s">
        <v>184</v>
      </c>
      <c r="B87" s="7" t="s">
        <v>41</v>
      </c>
      <c r="C87" s="7" t="s">
        <v>12</v>
      </c>
      <c r="D87" s="7"/>
      <c r="E87" s="7">
        <v>35163</v>
      </c>
      <c r="F87" s="9">
        <v>42603</v>
      </c>
      <c r="G87" s="10">
        <v>5</v>
      </c>
      <c r="H87" s="7" t="s">
        <v>19</v>
      </c>
      <c r="I87" s="11" t="s">
        <v>185</v>
      </c>
      <c r="J87">
        <v>33483</v>
      </c>
      <c r="K87">
        <v>5</v>
      </c>
    </row>
    <row r="88" spans="1:11" x14ac:dyDescent="0.35">
      <c r="A88" s="6" t="s">
        <v>186</v>
      </c>
      <c r="B88" s="7" t="s">
        <v>41</v>
      </c>
      <c r="C88" s="7" t="s">
        <v>34</v>
      </c>
      <c r="D88" s="7" t="s">
        <v>35</v>
      </c>
      <c r="E88" s="7">
        <v>33483</v>
      </c>
      <c r="F88" s="9">
        <v>42610</v>
      </c>
      <c r="G88" s="10">
        <v>4</v>
      </c>
      <c r="H88" s="7" t="s">
        <v>28</v>
      </c>
      <c r="I88" s="11" t="s">
        <v>187</v>
      </c>
      <c r="J88">
        <v>55303</v>
      </c>
      <c r="K88">
        <v>4</v>
      </c>
    </row>
    <row r="89" spans="1:11" x14ac:dyDescent="0.35">
      <c r="A89" s="6" t="s">
        <v>188</v>
      </c>
      <c r="B89" s="7" t="s">
        <v>39</v>
      </c>
      <c r="C89" s="7" t="s">
        <v>17</v>
      </c>
      <c r="D89" s="7" t="s">
        <v>18</v>
      </c>
      <c r="E89" s="7">
        <v>55303</v>
      </c>
      <c r="F89" s="9">
        <v>42617</v>
      </c>
      <c r="G89" s="10">
        <v>4</v>
      </c>
      <c r="H89" s="7" t="s">
        <v>28</v>
      </c>
      <c r="I89" s="11" t="s">
        <v>77</v>
      </c>
      <c r="J89">
        <v>63434</v>
      </c>
      <c r="K89">
        <v>4</v>
      </c>
    </row>
    <row r="90" spans="1:11" x14ac:dyDescent="0.35">
      <c r="A90" s="6" t="s">
        <v>189</v>
      </c>
      <c r="B90" s="7" t="s">
        <v>41</v>
      </c>
      <c r="C90" s="7" t="s">
        <v>34</v>
      </c>
      <c r="D90" s="7"/>
      <c r="E90" s="7">
        <v>63434</v>
      </c>
      <c r="F90" s="9">
        <v>42624</v>
      </c>
      <c r="G90" s="10">
        <v>3</v>
      </c>
      <c r="H90" s="7"/>
      <c r="I90" s="11" t="s">
        <v>190</v>
      </c>
      <c r="J90">
        <v>38830</v>
      </c>
      <c r="K90">
        <v>3</v>
      </c>
    </row>
    <row r="91" spans="1:11" x14ac:dyDescent="0.35">
      <c r="A91" s="6" t="s">
        <v>191</v>
      </c>
      <c r="B91" s="7" t="s">
        <v>31</v>
      </c>
      <c r="C91" s="7"/>
      <c r="D91" s="7" t="s">
        <v>64</v>
      </c>
      <c r="E91" s="7">
        <v>38830</v>
      </c>
      <c r="F91" s="9">
        <v>42631</v>
      </c>
      <c r="G91" s="10">
        <v>3</v>
      </c>
      <c r="H91" s="7" t="s">
        <v>19</v>
      </c>
      <c r="I91" s="11" t="s">
        <v>77</v>
      </c>
      <c r="J91">
        <v>50741</v>
      </c>
      <c r="K91">
        <v>3</v>
      </c>
    </row>
    <row r="92" spans="1:11" x14ac:dyDescent="0.35">
      <c r="A92" s="6" t="s">
        <v>192</v>
      </c>
      <c r="B92" s="7" t="s">
        <v>11</v>
      </c>
      <c r="C92" s="7" t="s">
        <v>42</v>
      </c>
      <c r="D92" s="7" t="s">
        <v>47</v>
      </c>
      <c r="E92" s="7">
        <v>50741</v>
      </c>
      <c r="F92" s="9">
        <v>42638</v>
      </c>
      <c r="G92" s="10">
        <v>3</v>
      </c>
      <c r="H92" s="7" t="s">
        <v>11</v>
      </c>
      <c r="I92" s="11" t="s">
        <v>160</v>
      </c>
      <c r="J92">
        <v>69420</v>
      </c>
      <c r="K92">
        <v>3</v>
      </c>
    </row>
    <row r="93" spans="1:11" x14ac:dyDescent="0.35">
      <c r="A93" s="6" t="s">
        <v>193</v>
      </c>
      <c r="B93" s="7" t="s">
        <v>22</v>
      </c>
      <c r="C93" s="7" t="s">
        <v>17</v>
      </c>
      <c r="D93" s="7" t="s">
        <v>64</v>
      </c>
      <c r="E93" s="7">
        <v>69420</v>
      </c>
      <c r="F93" s="9">
        <v>42645</v>
      </c>
      <c r="G93" s="10">
        <v>1</v>
      </c>
      <c r="H93" s="7" t="s">
        <v>28</v>
      </c>
      <c r="I93" s="11" t="s">
        <v>123</v>
      </c>
      <c r="J93">
        <v>80588</v>
      </c>
      <c r="K93">
        <v>1</v>
      </c>
    </row>
    <row r="94" spans="1:11" x14ac:dyDescent="0.35">
      <c r="A94" s="6" t="s">
        <v>194</v>
      </c>
      <c r="B94" s="7" t="s">
        <v>31</v>
      </c>
      <c r="C94" s="7" t="s">
        <v>34</v>
      </c>
      <c r="D94" s="7"/>
      <c r="E94" s="7">
        <v>80588</v>
      </c>
      <c r="F94" s="9">
        <v>42652</v>
      </c>
      <c r="G94" s="10">
        <v>5</v>
      </c>
      <c r="H94" s="7" t="s">
        <v>28</v>
      </c>
      <c r="I94" s="11" t="s">
        <v>104</v>
      </c>
      <c r="J94">
        <v>76238</v>
      </c>
      <c r="K94">
        <v>5</v>
      </c>
    </row>
    <row r="95" spans="1:11" x14ac:dyDescent="0.35">
      <c r="A95" s="6" t="s">
        <v>195</v>
      </c>
      <c r="B95" s="7" t="s">
        <v>22</v>
      </c>
      <c r="C95" s="7"/>
      <c r="D95" s="7" t="s">
        <v>27</v>
      </c>
      <c r="E95" s="7">
        <v>76238</v>
      </c>
      <c r="F95" s="9">
        <v>42659</v>
      </c>
      <c r="G95" s="10">
        <v>4</v>
      </c>
      <c r="H95" s="7" t="s">
        <v>28</v>
      </c>
      <c r="I95" s="11" t="s">
        <v>196</v>
      </c>
      <c r="J95">
        <v>33264</v>
      </c>
      <c r="K95">
        <v>4</v>
      </c>
    </row>
    <row r="96" spans="1:11" x14ac:dyDescent="0.35">
      <c r="A96" s="6" t="s">
        <v>197</v>
      </c>
      <c r="B96" s="7" t="s">
        <v>54</v>
      </c>
      <c r="C96" s="7" t="s">
        <v>34</v>
      </c>
      <c r="D96" s="7" t="s">
        <v>35</v>
      </c>
      <c r="E96" s="7">
        <v>33264</v>
      </c>
      <c r="F96" s="9">
        <v>42666</v>
      </c>
      <c r="G96" s="12">
        <f>IF(ISBLANK(G90), G89, G90)</f>
        <v>3</v>
      </c>
      <c r="H96" s="7" t="s">
        <v>36</v>
      </c>
      <c r="I96" s="11" t="s">
        <v>198</v>
      </c>
      <c r="J96">
        <v>96101</v>
      </c>
      <c r="K96">
        <v>3</v>
      </c>
    </row>
    <row r="97" spans="1:11" x14ac:dyDescent="0.35">
      <c r="A97" s="6" t="s">
        <v>199</v>
      </c>
      <c r="B97" s="7" t="s">
        <v>22</v>
      </c>
      <c r="C97" s="7" t="s">
        <v>12</v>
      </c>
      <c r="D97" s="7" t="s">
        <v>64</v>
      </c>
      <c r="E97" s="7">
        <v>96101</v>
      </c>
      <c r="F97" s="9">
        <v>42673</v>
      </c>
      <c r="G97" s="12">
        <f>IF(ISBLANK(G91), G90, G91)</f>
        <v>3</v>
      </c>
      <c r="H97" s="7" t="s">
        <v>19</v>
      </c>
      <c r="I97" s="11" t="s">
        <v>200</v>
      </c>
      <c r="J97">
        <v>72939</v>
      </c>
      <c r="K97">
        <v>3</v>
      </c>
    </row>
    <row r="98" spans="1:11" x14ac:dyDescent="0.35">
      <c r="A98" s="6" t="s">
        <v>201</v>
      </c>
      <c r="B98" s="7" t="s">
        <v>31</v>
      </c>
      <c r="C98" s="7" t="s">
        <v>12</v>
      </c>
      <c r="D98" s="7" t="s">
        <v>27</v>
      </c>
      <c r="E98" s="7">
        <v>72939</v>
      </c>
      <c r="F98" s="9">
        <v>42680</v>
      </c>
      <c r="G98" s="10">
        <v>3</v>
      </c>
      <c r="H98" s="7"/>
      <c r="I98" s="11" t="s">
        <v>202</v>
      </c>
      <c r="J98">
        <v>89333</v>
      </c>
      <c r="K98">
        <v>3</v>
      </c>
    </row>
    <row r="99" spans="1:11" x14ac:dyDescent="0.35">
      <c r="A99" s="6" t="s">
        <v>203</v>
      </c>
      <c r="B99" s="7" t="s">
        <v>39</v>
      </c>
      <c r="C99" s="7" t="s">
        <v>17</v>
      </c>
      <c r="D99" s="7" t="s">
        <v>18</v>
      </c>
      <c r="E99" s="7">
        <v>89333</v>
      </c>
      <c r="F99" s="9">
        <v>42687</v>
      </c>
      <c r="G99" s="10">
        <v>1</v>
      </c>
      <c r="H99" s="7" t="s">
        <v>28</v>
      </c>
      <c r="I99" s="11" t="s">
        <v>204</v>
      </c>
      <c r="J99">
        <v>70470</v>
      </c>
      <c r="K99">
        <v>1</v>
      </c>
    </row>
    <row r="100" spans="1:11" x14ac:dyDescent="0.35">
      <c r="A100" s="6" t="s">
        <v>205</v>
      </c>
      <c r="B100" s="7" t="s">
        <v>54</v>
      </c>
      <c r="C100" s="7" t="s">
        <v>34</v>
      </c>
      <c r="D100" s="7" t="s">
        <v>64</v>
      </c>
      <c r="E100" s="7">
        <v>70470</v>
      </c>
      <c r="F100" s="9">
        <v>42694</v>
      </c>
      <c r="G100" s="12">
        <f>IF(ISBLANK(G94), G93, G94)</f>
        <v>5</v>
      </c>
      <c r="H100" s="7" t="s">
        <v>28</v>
      </c>
      <c r="I100" s="11" t="s">
        <v>206</v>
      </c>
      <c r="J100">
        <v>70096</v>
      </c>
      <c r="K100">
        <v>5</v>
      </c>
    </row>
    <row r="101" spans="1:11" x14ac:dyDescent="0.35">
      <c r="A101" s="6" t="s">
        <v>207</v>
      </c>
      <c r="B101" s="7" t="s">
        <v>16</v>
      </c>
      <c r="C101" s="7" t="s">
        <v>42</v>
      </c>
      <c r="D101" s="7" t="s">
        <v>27</v>
      </c>
      <c r="E101" s="7">
        <v>70096</v>
      </c>
      <c r="F101" s="9">
        <v>42701</v>
      </c>
      <c r="G101" s="10">
        <v>4</v>
      </c>
      <c r="H101" s="7" t="s">
        <v>28</v>
      </c>
      <c r="I101" s="11" t="s">
        <v>208</v>
      </c>
      <c r="J101" s="8">
        <v>66280.929577464791</v>
      </c>
      <c r="K101">
        <v>4</v>
      </c>
    </row>
    <row r="102" spans="1:11" x14ac:dyDescent="0.35">
      <c r="A102" s="6" t="s">
        <v>209</v>
      </c>
      <c r="B102" s="7" t="s">
        <v>54</v>
      </c>
      <c r="C102" s="7" t="s">
        <v>42</v>
      </c>
      <c r="D102" s="7" t="s">
        <v>13</v>
      </c>
      <c r="E102" s="8">
        <f ca="1">AVERAGE(Table14[Salary])</f>
        <v>66280.929577464791</v>
      </c>
      <c r="F102" s="9">
        <v>42708</v>
      </c>
      <c r="G102" s="10">
        <v>2</v>
      </c>
      <c r="H102" s="7" t="s">
        <v>19</v>
      </c>
      <c r="I102" s="11" t="s">
        <v>210</v>
      </c>
      <c r="J102">
        <v>66503</v>
      </c>
      <c r="K102">
        <v>2</v>
      </c>
    </row>
    <row r="103" spans="1:11" x14ac:dyDescent="0.35">
      <c r="A103" s="6" t="s">
        <v>211</v>
      </c>
      <c r="B103" s="7" t="s">
        <v>54</v>
      </c>
      <c r="C103" s="7" t="s">
        <v>34</v>
      </c>
      <c r="D103" s="7" t="s">
        <v>18</v>
      </c>
      <c r="E103" s="7">
        <v>66503</v>
      </c>
      <c r="F103" s="9">
        <v>42715</v>
      </c>
      <c r="G103" s="12">
        <f>IF(ISBLANK(G97), G96, G97)</f>
        <v>3</v>
      </c>
      <c r="H103" s="7" t="s">
        <v>28</v>
      </c>
      <c r="I103" s="11" t="s">
        <v>71</v>
      </c>
      <c r="J103">
        <v>42096</v>
      </c>
      <c r="K103">
        <v>3</v>
      </c>
    </row>
    <row r="104" spans="1:11" x14ac:dyDescent="0.35">
      <c r="A104" s="6" t="s">
        <v>212</v>
      </c>
      <c r="B104" s="7" t="s">
        <v>22</v>
      </c>
      <c r="C104" s="7" t="s">
        <v>17</v>
      </c>
      <c r="D104" s="7" t="s">
        <v>18</v>
      </c>
      <c r="E104" s="7">
        <v>42096</v>
      </c>
      <c r="F104" s="9">
        <v>42722</v>
      </c>
      <c r="G104" s="12">
        <f>IF(ISBLANK(G98), G97, G98)</f>
        <v>3</v>
      </c>
      <c r="H104" s="7" t="s">
        <v>36</v>
      </c>
      <c r="I104" s="11" t="s">
        <v>213</v>
      </c>
      <c r="J104">
        <v>79145</v>
      </c>
      <c r="K104">
        <v>3</v>
      </c>
    </row>
    <row r="105" spans="1:11" x14ac:dyDescent="0.35">
      <c r="A105" s="6" t="s">
        <v>214</v>
      </c>
      <c r="B105" s="7" t="s">
        <v>22</v>
      </c>
      <c r="C105" s="7" t="s">
        <v>42</v>
      </c>
      <c r="D105" s="7"/>
      <c r="E105" s="7">
        <v>79145</v>
      </c>
      <c r="F105" s="9">
        <v>42729</v>
      </c>
      <c r="G105" s="10">
        <v>5</v>
      </c>
      <c r="H105" s="7" t="s">
        <v>19</v>
      </c>
      <c r="I105" s="11" t="s">
        <v>118</v>
      </c>
      <c r="J105">
        <v>61556</v>
      </c>
      <c r="K105">
        <v>5</v>
      </c>
    </row>
    <row r="106" spans="1:11" x14ac:dyDescent="0.35">
      <c r="A106" s="6" t="s">
        <v>215</v>
      </c>
      <c r="B106" s="7" t="s">
        <v>31</v>
      </c>
      <c r="C106" s="7"/>
      <c r="D106" s="7" t="s">
        <v>64</v>
      </c>
      <c r="E106" s="7">
        <v>61556</v>
      </c>
      <c r="F106" s="9">
        <v>42736</v>
      </c>
      <c r="G106" s="10">
        <v>1</v>
      </c>
      <c r="H106" s="7"/>
      <c r="I106" s="11" t="s">
        <v>210</v>
      </c>
      <c r="J106">
        <v>87963</v>
      </c>
      <c r="K106">
        <v>1</v>
      </c>
    </row>
    <row r="107" spans="1:11" x14ac:dyDescent="0.35">
      <c r="A107" s="6" t="s">
        <v>216</v>
      </c>
      <c r="B107" s="7" t="s">
        <v>11</v>
      </c>
      <c r="C107" s="7" t="s">
        <v>17</v>
      </c>
      <c r="D107" s="7" t="s">
        <v>47</v>
      </c>
      <c r="E107" s="7">
        <v>87963</v>
      </c>
      <c r="F107" s="9">
        <v>42743</v>
      </c>
      <c r="G107" s="10">
        <v>3</v>
      </c>
      <c r="H107" s="7" t="s">
        <v>19</v>
      </c>
      <c r="I107" s="11" t="s">
        <v>14</v>
      </c>
      <c r="J107">
        <v>48325</v>
      </c>
      <c r="K107">
        <v>3</v>
      </c>
    </row>
    <row r="108" spans="1:11" x14ac:dyDescent="0.35">
      <c r="A108" s="6" t="s">
        <v>217</v>
      </c>
      <c r="B108" s="7" t="s">
        <v>16</v>
      </c>
      <c r="C108" s="7" t="s">
        <v>34</v>
      </c>
      <c r="D108" s="7"/>
      <c r="E108" s="7">
        <v>48325</v>
      </c>
      <c r="F108" s="9">
        <v>42750</v>
      </c>
      <c r="G108" s="12">
        <f>IF(ISBLANK(G102), G101, G102)</f>
        <v>2</v>
      </c>
      <c r="H108" s="7" t="s">
        <v>28</v>
      </c>
      <c r="I108" s="11" t="s">
        <v>218</v>
      </c>
      <c r="J108">
        <v>86412</v>
      </c>
      <c r="K108">
        <v>2</v>
      </c>
    </row>
    <row r="109" spans="1:11" x14ac:dyDescent="0.35">
      <c r="A109" s="6" t="s">
        <v>219</v>
      </c>
      <c r="B109" s="7" t="s">
        <v>39</v>
      </c>
      <c r="C109" s="7" t="s">
        <v>42</v>
      </c>
      <c r="D109" s="7" t="s">
        <v>64</v>
      </c>
      <c r="E109" s="7">
        <v>86412</v>
      </c>
      <c r="F109" s="9">
        <v>42757</v>
      </c>
      <c r="G109" s="10">
        <v>2</v>
      </c>
      <c r="H109" s="7" t="s">
        <v>36</v>
      </c>
      <c r="I109" s="11" t="s">
        <v>75</v>
      </c>
      <c r="J109">
        <v>66761</v>
      </c>
      <c r="K109">
        <v>2</v>
      </c>
    </row>
    <row r="110" spans="1:11" x14ac:dyDescent="0.35">
      <c r="A110" s="6" t="s">
        <v>220</v>
      </c>
      <c r="B110" s="7" t="s">
        <v>39</v>
      </c>
      <c r="C110" s="7" t="s">
        <v>17</v>
      </c>
      <c r="D110" s="7"/>
      <c r="E110" s="7">
        <v>66761</v>
      </c>
      <c r="F110" s="9">
        <v>42764</v>
      </c>
      <c r="G110" s="10">
        <v>1</v>
      </c>
      <c r="H110" s="7"/>
      <c r="I110" s="11" t="s">
        <v>221</v>
      </c>
      <c r="J110">
        <v>88850</v>
      </c>
      <c r="K110">
        <v>1</v>
      </c>
    </row>
    <row r="111" spans="1:11" x14ac:dyDescent="0.35">
      <c r="A111" s="6" t="s">
        <v>222</v>
      </c>
      <c r="B111" s="7" t="s">
        <v>31</v>
      </c>
      <c r="C111" s="7"/>
      <c r="D111" s="7" t="s">
        <v>35</v>
      </c>
      <c r="E111" s="7">
        <v>88850</v>
      </c>
      <c r="F111" s="9">
        <v>42771</v>
      </c>
      <c r="G111" s="10">
        <v>1</v>
      </c>
      <c r="H111" s="7" t="s">
        <v>36</v>
      </c>
      <c r="I111" s="11" t="s">
        <v>223</v>
      </c>
      <c r="J111">
        <v>31293</v>
      </c>
      <c r="K111">
        <v>1</v>
      </c>
    </row>
    <row r="112" spans="1:11" x14ac:dyDescent="0.35">
      <c r="A112" s="6" t="s">
        <v>224</v>
      </c>
      <c r="B112" s="7" t="s">
        <v>41</v>
      </c>
      <c r="C112" s="7" t="s">
        <v>26</v>
      </c>
      <c r="D112" s="7" t="s">
        <v>35</v>
      </c>
      <c r="E112" s="7">
        <v>31293</v>
      </c>
      <c r="F112" s="14">
        <v>42778</v>
      </c>
      <c r="G112" s="10">
        <v>2</v>
      </c>
      <c r="H112" s="7" t="s">
        <v>36</v>
      </c>
      <c r="I112" s="11" t="s">
        <v>225</v>
      </c>
      <c r="J112">
        <v>34306</v>
      </c>
      <c r="K112">
        <v>2</v>
      </c>
    </row>
    <row r="113" spans="1:11" x14ac:dyDescent="0.35">
      <c r="A113" s="6" t="s">
        <v>226</v>
      </c>
      <c r="B113" s="7" t="s">
        <v>41</v>
      </c>
      <c r="C113" s="7" t="s">
        <v>34</v>
      </c>
      <c r="D113" s="7" t="s">
        <v>27</v>
      </c>
      <c r="E113" s="7">
        <v>34306</v>
      </c>
      <c r="F113" s="9">
        <v>42785</v>
      </c>
      <c r="G113" s="10">
        <v>5</v>
      </c>
      <c r="H113" s="7" t="s">
        <v>36</v>
      </c>
      <c r="I113" s="11" t="s">
        <v>157</v>
      </c>
      <c r="J113">
        <v>78330</v>
      </c>
      <c r="K113">
        <v>5</v>
      </c>
    </row>
    <row r="114" spans="1:11" x14ac:dyDescent="0.35">
      <c r="A114" s="6" t="s">
        <v>227</v>
      </c>
      <c r="B114" s="7" t="s">
        <v>16</v>
      </c>
      <c r="C114" s="7" t="s">
        <v>12</v>
      </c>
      <c r="D114" s="7" t="s">
        <v>35</v>
      </c>
      <c r="E114" s="7">
        <v>78330</v>
      </c>
      <c r="F114" s="9">
        <v>42792</v>
      </c>
      <c r="G114" s="12">
        <f>IF(ISBLANK(G108), G107, G108)</f>
        <v>2</v>
      </c>
      <c r="H114" s="7" t="s">
        <v>19</v>
      </c>
      <c r="I114" s="11" t="s">
        <v>208</v>
      </c>
      <c r="J114">
        <v>47653</v>
      </c>
      <c r="K114">
        <v>2</v>
      </c>
    </row>
    <row r="115" spans="1:11" x14ac:dyDescent="0.35">
      <c r="A115" s="6" t="s">
        <v>228</v>
      </c>
      <c r="B115" s="7" t="s">
        <v>22</v>
      </c>
      <c r="C115" s="7" t="s">
        <v>34</v>
      </c>
      <c r="D115" s="7" t="s">
        <v>27</v>
      </c>
      <c r="E115" s="7">
        <v>47653</v>
      </c>
      <c r="F115" s="9">
        <v>42799</v>
      </c>
      <c r="G115" s="10">
        <v>1</v>
      </c>
      <c r="H115" s="7" t="s">
        <v>28</v>
      </c>
      <c r="I115" s="11" t="s">
        <v>229</v>
      </c>
      <c r="J115">
        <v>44627</v>
      </c>
      <c r="K115">
        <v>1</v>
      </c>
    </row>
    <row r="116" spans="1:11" x14ac:dyDescent="0.35">
      <c r="A116" s="6" t="s">
        <v>230</v>
      </c>
      <c r="B116" s="7" t="s">
        <v>16</v>
      </c>
      <c r="C116" s="7" t="s">
        <v>42</v>
      </c>
      <c r="D116" s="7" t="s">
        <v>47</v>
      </c>
      <c r="E116" s="7">
        <v>44627</v>
      </c>
      <c r="F116" s="9">
        <v>42806</v>
      </c>
      <c r="G116" s="10">
        <v>4</v>
      </c>
      <c r="H116" s="7"/>
      <c r="I116" s="11" t="s">
        <v>149</v>
      </c>
      <c r="J116">
        <v>92343</v>
      </c>
      <c r="K116">
        <v>4</v>
      </c>
    </row>
    <row r="117" spans="1:11" x14ac:dyDescent="0.35">
      <c r="A117" s="6" t="s">
        <v>231</v>
      </c>
      <c r="B117" s="7" t="s">
        <v>54</v>
      </c>
      <c r="C117" s="7" t="s">
        <v>17</v>
      </c>
      <c r="D117" s="7" t="s">
        <v>18</v>
      </c>
      <c r="E117" s="7">
        <v>92343</v>
      </c>
      <c r="F117" s="9">
        <v>42813</v>
      </c>
      <c r="G117" s="10">
        <v>4</v>
      </c>
      <c r="H117" s="7" t="s">
        <v>36</v>
      </c>
      <c r="I117" s="11" t="s">
        <v>77</v>
      </c>
      <c r="J117">
        <v>38837</v>
      </c>
      <c r="K117">
        <v>4</v>
      </c>
    </row>
    <row r="118" spans="1:11" x14ac:dyDescent="0.35">
      <c r="A118" s="6" t="s">
        <v>232</v>
      </c>
      <c r="B118" s="7" t="s">
        <v>54</v>
      </c>
      <c r="C118" s="7" t="s">
        <v>42</v>
      </c>
      <c r="D118" s="7" t="s">
        <v>64</v>
      </c>
      <c r="E118" s="7">
        <v>38837</v>
      </c>
      <c r="F118" s="9">
        <v>42820</v>
      </c>
      <c r="G118" s="10">
        <v>5</v>
      </c>
      <c r="H118" s="7" t="s">
        <v>36</v>
      </c>
      <c r="I118" s="11" t="s">
        <v>157</v>
      </c>
      <c r="J118">
        <v>73483</v>
      </c>
      <c r="K118">
        <v>5</v>
      </c>
    </row>
    <row r="119" spans="1:11" x14ac:dyDescent="0.35">
      <c r="A119" s="6" t="s">
        <v>233</v>
      </c>
      <c r="B119" s="7" t="s">
        <v>54</v>
      </c>
      <c r="C119" s="7" t="s">
        <v>42</v>
      </c>
      <c r="D119" s="7"/>
      <c r="E119" s="7">
        <v>73483</v>
      </c>
      <c r="F119" s="9">
        <v>42827</v>
      </c>
      <c r="G119" s="10">
        <v>1</v>
      </c>
      <c r="H119" s="7"/>
      <c r="I119" s="11" t="s">
        <v>234</v>
      </c>
      <c r="J119">
        <v>95032</v>
      </c>
      <c r="K119">
        <v>1</v>
      </c>
    </row>
    <row r="120" spans="1:11" x14ac:dyDescent="0.35">
      <c r="A120" s="6" t="s">
        <v>235</v>
      </c>
      <c r="B120" s="7" t="s">
        <v>41</v>
      </c>
      <c r="C120" s="7" t="s">
        <v>26</v>
      </c>
      <c r="D120" s="7" t="s">
        <v>35</v>
      </c>
      <c r="E120" s="7">
        <v>95032</v>
      </c>
      <c r="F120" s="9">
        <v>42834</v>
      </c>
      <c r="G120" s="10">
        <v>3</v>
      </c>
      <c r="H120" s="7"/>
      <c r="I120" s="11" t="s">
        <v>236</v>
      </c>
      <c r="J120">
        <v>44358</v>
      </c>
      <c r="K120">
        <v>3</v>
      </c>
    </row>
    <row r="121" spans="1:11" x14ac:dyDescent="0.35">
      <c r="A121" s="6" t="s">
        <v>237</v>
      </c>
      <c r="B121" s="7" t="s">
        <v>16</v>
      </c>
      <c r="C121" s="7" t="s">
        <v>26</v>
      </c>
      <c r="D121" s="7" t="s">
        <v>64</v>
      </c>
      <c r="E121" s="7">
        <v>44358</v>
      </c>
      <c r="F121" s="9">
        <v>42841</v>
      </c>
      <c r="G121" s="12">
        <f>IF(ISBLANK(G115), G114, G115)</f>
        <v>1</v>
      </c>
      <c r="H121" s="7" t="s">
        <v>36</v>
      </c>
      <c r="I121" s="11" t="s">
        <v>71</v>
      </c>
      <c r="J121">
        <v>66281</v>
      </c>
      <c r="K121">
        <v>1</v>
      </c>
    </row>
    <row r="122" spans="1:11" x14ac:dyDescent="0.35">
      <c r="A122" s="6" t="s">
        <v>238</v>
      </c>
      <c r="B122" s="7" t="s">
        <v>11</v>
      </c>
      <c r="C122" s="7" t="s">
        <v>34</v>
      </c>
      <c r="D122" s="7" t="s">
        <v>27</v>
      </c>
      <c r="E122" s="7">
        <v>66281</v>
      </c>
      <c r="F122" s="14">
        <v>42848</v>
      </c>
      <c r="G122" s="10">
        <v>5</v>
      </c>
      <c r="H122" s="7" t="s">
        <v>11</v>
      </c>
      <c r="I122" s="11" t="s">
        <v>239</v>
      </c>
      <c r="J122">
        <v>45676</v>
      </c>
      <c r="K122">
        <v>5</v>
      </c>
    </row>
    <row r="123" spans="1:11" x14ac:dyDescent="0.35">
      <c r="A123" s="6" t="s">
        <v>240</v>
      </c>
      <c r="B123" s="7" t="s">
        <v>41</v>
      </c>
      <c r="C123" s="7" t="s">
        <v>26</v>
      </c>
      <c r="D123" s="7" t="s">
        <v>27</v>
      </c>
      <c r="E123" s="7">
        <v>45676</v>
      </c>
      <c r="F123" s="9">
        <v>42855</v>
      </c>
      <c r="G123" s="10">
        <v>2</v>
      </c>
      <c r="H123" s="7"/>
      <c r="I123" s="11" t="s">
        <v>241</v>
      </c>
      <c r="J123">
        <v>52036</v>
      </c>
      <c r="K123">
        <v>2</v>
      </c>
    </row>
    <row r="124" spans="1:11" x14ac:dyDescent="0.35">
      <c r="A124" s="6" t="s">
        <v>242</v>
      </c>
      <c r="B124" s="7" t="s">
        <v>54</v>
      </c>
      <c r="C124" s="7" t="s">
        <v>26</v>
      </c>
      <c r="D124" s="7" t="s">
        <v>18</v>
      </c>
      <c r="E124" s="7">
        <v>52036</v>
      </c>
      <c r="F124" s="9">
        <v>42862</v>
      </c>
      <c r="G124" s="10">
        <v>3</v>
      </c>
      <c r="H124" s="7" t="s">
        <v>28</v>
      </c>
      <c r="I124" s="11" t="s">
        <v>243</v>
      </c>
      <c r="J124">
        <v>30357</v>
      </c>
      <c r="K124">
        <v>3</v>
      </c>
    </row>
    <row r="125" spans="1:11" x14ac:dyDescent="0.35">
      <c r="A125" s="6" t="s">
        <v>244</v>
      </c>
      <c r="B125" s="7" t="s">
        <v>31</v>
      </c>
      <c r="C125" s="7"/>
      <c r="D125" s="7" t="s">
        <v>18</v>
      </c>
      <c r="E125" s="7">
        <v>30357</v>
      </c>
      <c r="F125" s="9">
        <v>42869</v>
      </c>
      <c r="G125" s="10">
        <v>5</v>
      </c>
      <c r="H125" s="7" t="s">
        <v>28</v>
      </c>
      <c r="I125" s="11" t="s">
        <v>182</v>
      </c>
      <c r="J125">
        <v>60034</v>
      </c>
      <c r="K125">
        <v>5</v>
      </c>
    </row>
    <row r="126" spans="1:11" x14ac:dyDescent="0.35">
      <c r="A126" s="6" t="s">
        <v>245</v>
      </c>
      <c r="B126" s="7" t="s">
        <v>25</v>
      </c>
      <c r="C126" s="7" t="s">
        <v>34</v>
      </c>
      <c r="D126" s="7"/>
      <c r="E126" s="7">
        <v>60034</v>
      </c>
      <c r="F126" s="9">
        <v>42876</v>
      </c>
      <c r="G126" s="10">
        <v>1</v>
      </c>
      <c r="H126" s="7" t="s">
        <v>36</v>
      </c>
      <c r="I126" s="11" t="s">
        <v>246</v>
      </c>
      <c r="J126">
        <v>90019</v>
      </c>
      <c r="K126">
        <v>1</v>
      </c>
    </row>
    <row r="127" spans="1:11" x14ac:dyDescent="0.35">
      <c r="A127" s="6" t="s">
        <v>247</v>
      </c>
      <c r="B127" s="7" t="s">
        <v>25</v>
      </c>
      <c r="C127" s="7" t="s">
        <v>12</v>
      </c>
      <c r="D127" s="7" t="s">
        <v>13</v>
      </c>
      <c r="E127" s="7">
        <v>90019</v>
      </c>
      <c r="F127" s="9">
        <v>42883</v>
      </c>
      <c r="G127" s="10">
        <v>5</v>
      </c>
      <c r="H127" s="7"/>
      <c r="I127" s="11" t="s">
        <v>248</v>
      </c>
      <c r="J127">
        <v>71494</v>
      </c>
      <c r="K127">
        <v>5</v>
      </c>
    </row>
    <row r="128" spans="1:11" x14ac:dyDescent="0.35">
      <c r="A128" s="6" t="s">
        <v>249</v>
      </c>
      <c r="B128" s="7" t="s">
        <v>54</v>
      </c>
      <c r="C128" s="7"/>
      <c r="D128" s="7" t="s">
        <v>18</v>
      </c>
      <c r="E128" s="7">
        <v>71494</v>
      </c>
      <c r="F128" s="9">
        <v>42890</v>
      </c>
      <c r="G128" s="10">
        <v>3</v>
      </c>
      <c r="H128" s="7" t="s">
        <v>28</v>
      </c>
      <c r="I128" s="11" t="s">
        <v>250</v>
      </c>
      <c r="J128">
        <v>91953</v>
      </c>
      <c r="K128">
        <v>3</v>
      </c>
    </row>
    <row r="129" spans="1:11" x14ac:dyDescent="0.35">
      <c r="A129" s="6" t="s">
        <v>251</v>
      </c>
      <c r="B129" s="7" t="s">
        <v>25</v>
      </c>
      <c r="C129" s="7" t="s">
        <v>12</v>
      </c>
      <c r="D129" s="7" t="s">
        <v>27</v>
      </c>
      <c r="E129" s="7">
        <v>91953</v>
      </c>
      <c r="F129" s="9">
        <v>42897</v>
      </c>
      <c r="G129" s="10">
        <v>2</v>
      </c>
      <c r="H129" s="7" t="s">
        <v>28</v>
      </c>
      <c r="I129" s="11" t="s">
        <v>89</v>
      </c>
      <c r="J129">
        <v>30402</v>
      </c>
      <c r="K129">
        <v>2</v>
      </c>
    </row>
    <row r="130" spans="1:11" x14ac:dyDescent="0.35">
      <c r="A130" s="6" t="s">
        <v>252</v>
      </c>
      <c r="B130" s="7" t="s">
        <v>41</v>
      </c>
      <c r="C130" s="7" t="s">
        <v>26</v>
      </c>
      <c r="D130" s="7" t="s">
        <v>27</v>
      </c>
      <c r="E130" s="7">
        <v>30402</v>
      </c>
      <c r="F130" s="9">
        <v>42904</v>
      </c>
      <c r="G130" s="10">
        <v>1</v>
      </c>
      <c r="H130" s="7"/>
      <c r="I130" s="11" t="s">
        <v>253</v>
      </c>
      <c r="J130">
        <v>62994</v>
      </c>
      <c r="K130">
        <v>1</v>
      </c>
    </row>
    <row r="131" spans="1:11" x14ac:dyDescent="0.35">
      <c r="A131" s="6" t="s">
        <v>254</v>
      </c>
      <c r="B131" s="7" t="s">
        <v>54</v>
      </c>
      <c r="C131" s="7"/>
      <c r="D131" s="7" t="s">
        <v>47</v>
      </c>
      <c r="E131" s="7">
        <v>62994</v>
      </c>
      <c r="F131" s="9">
        <v>42911</v>
      </c>
      <c r="G131" s="12">
        <f>IF(ISBLANK(G125), G124, G125)</f>
        <v>5</v>
      </c>
      <c r="H131" s="7"/>
      <c r="I131" s="11" t="s">
        <v>114</v>
      </c>
      <c r="J131">
        <v>48289</v>
      </c>
      <c r="K131">
        <v>5</v>
      </c>
    </row>
    <row r="132" spans="1:11" x14ac:dyDescent="0.35">
      <c r="A132" s="6" t="s">
        <v>255</v>
      </c>
      <c r="B132" s="7" t="s">
        <v>22</v>
      </c>
      <c r="C132" s="7" t="s">
        <v>26</v>
      </c>
      <c r="D132" s="7" t="s">
        <v>35</v>
      </c>
      <c r="E132" s="7">
        <v>48289</v>
      </c>
      <c r="F132" s="14">
        <v>42918</v>
      </c>
      <c r="G132" s="10">
        <v>3</v>
      </c>
      <c r="H132" s="7" t="s">
        <v>28</v>
      </c>
      <c r="I132" s="11" t="s">
        <v>45</v>
      </c>
      <c r="J132">
        <v>34402</v>
      </c>
      <c r="K132">
        <v>3</v>
      </c>
    </row>
    <row r="133" spans="1:11" x14ac:dyDescent="0.35">
      <c r="A133" s="6" t="s">
        <v>256</v>
      </c>
      <c r="B133" s="7" t="s">
        <v>39</v>
      </c>
      <c r="C133" s="7" t="s">
        <v>42</v>
      </c>
      <c r="D133" s="7" t="s">
        <v>18</v>
      </c>
      <c r="E133" s="7">
        <v>34402</v>
      </c>
      <c r="F133" s="9">
        <v>42925</v>
      </c>
      <c r="G133" s="10">
        <v>3</v>
      </c>
      <c r="H133" s="7" t="s">
        <v>19</v>
      </c>
      <c r="I133" s="11" t="s">
        <v>108</v>
      </c>
      <c r="J133">
        <v>38678</v>
      </c>
      <c r="K133">
        <v>3</v>
      </c>
    </row>
    <row r="134" spans="1:11" x14ac:dyDescent="0.35">
      <c r="A134" s="6" t="s">
        <v>257</v>
      </c>
      <c r="B134" s="7" t="s">
        <v>16</v>
      </c>
      <c r="C134" s="7" t="s">
        <v>17</v>
      </c>
      <c r="D134" s="7" t="s">
        <v>27</v>
      </c>
      <c r="E134" s="7">
        <v>38678</v>
      </c>
      <c r="F134" s="9">
        <v>42932</v>
      </c>
      <c r="G134" s="10">
        <v>3</v>
      </c>
      <c r="H134" s="7" t="s">
        <v>19</v>
      </c>
      <c r="I134" s="11" t="s">
        <v>258</v>
      </c>
      <c r="J134">
        <v>45758</v>
      </c>
      <c r="K134">
        <v>3</v>
      </c>
    </row>
    <row r="135" spans="1:11" x14ac:dyDescent="0.35">
      <c r="A135" s="6" t="s">
        <v>259</v>
      </c>
      <c r="B135" s="7" t="s">
        <v>41</v>
      </c>
      <c r="C135" s="7" t="s">
        <v>17</v>
      </c>
      <c r="D135" s="7" t="s">
        <v>18</v>
      </c>
      <c r="E135" s="7">
        <v>45758</v>
      </c>
      <c r="F135" s="9">
        <v>42939</v>
      </c>
      <c r="G135" s="10">
        <v>3</v>
      </c>
      <c r="H135" s="7"/>
      <c r="I135" s="11" t="s">
        <v>225</v>
      </c>
      <c r="J135">
        <v>62476</v>
      </c>
      <c r="K135">
        <v>3</v>
      </c>
    </row>
    <row r="136" spans="1:11" x14ac:dyDescent="0.35">
      <c r="A136" s="6" t="s">
        <v>260</v>
      </c>
      <c r="B136" s="7" t="s">
        <v>16</v>
      </c>
      <c r="C136" s="7" t="s">
        <v>42</v>
      </c>
      <c r="D136" s="7" t="s">
        <v>35</v>
      </c>
      <c r="E136" s="7">
        <v>62476</v>
      </c>
      <c r="F136" s="9">
        <v>42946</v>
      </c>
      <c r="G136" s="10">
        <v>1</v>
      </c>
      <c r="H136" s="7" t="s">
        <v>19</v>
      </c>
      <c r="I136" s="11" t="s">
        <v>138</v>
      </c>
      <c r="J136">
        <v>39280</v>
      </c>
      <c r="K136">
        <v>1</v>
      </c>
    </row>
    <row r="137" spans="1:11" x14ac:dyDescent="0.35">
      <c r="A137" s="6" t="s">
        <v>261</v>
      </c>
      <c r="B137" s="7" t="s">
        <v>11</v>
      </c>
      <c r="C137" s="7" t="s">
        <v>34</v>
      </c>
      <c r="D137" s="7" t="s">
        <v>47</v>
      </c>
      <c r="E137" s="7">
        <v>39280</v>
      </c>
      <c r="F137" s="9">
        <v>42953</v>
      </c>
      <c r="G137" s="10">
        <v>3</v>
      </c>
      <c r="H137" s="7" t="s">
        <v>36</v>
      </c>
      <c r="I137" s="11" t="s">
        <v>99</v>
      </c>
      <c r="J137">
        <v>60335</v>
      </c>
      <c r="K137">
        <v>3</v>
      </c>
    </row>
    <row r="138" spans="1:11" x14ac:dyDescent="0.35">
      <c r="A138" s="6" t="s">
        <v>262</v>
      </c>
      <c r="B138" s="7" t="s">
        <v>31</v>
      </c>
      <c r="C138" s="7" t="s">
        <v>12</v>
      </c>
      <c r="D138" s="7" t="s">
        <v>35</v>
      </c>
      <c r="E138" s="7">
        <v>60335</v>
      </c>
      <c r="F138" s="9">
        <v>42960</v>
      </c>
      <c r="G138" s="10">
        <v>4</v>
      </c>
      <c r="H138" s="7" t="s">
        <v>19</v>
      </c>
      <c r="I138" s="11" t="s">
        <v>129</v>
      </c>
      <c r="J138">
        <v>84968</v>
      </c>
      <c r="K138">
        <v>4</v>
      </c>
    </row>
    <row r="139" spans="1:11" x14ac:dyDescent="0.35">
      <c r="A139" s="6" t="s">
        <v>263</v>
      </c>
      <c r="B139" s="7" t="s">
        <v>41</v>
      </c>
      <c r="C139" s="7" t="s">
        <v>17</v>
      </c>
      <c r="D139" s="7" t="s">
        <v>18</v>
      </c>
      <c r="E139" s="7">
        <v>84968</v>
      </c>
      <c r="F139" s="9">
        <v>42967</v>
      </c>
      <c r="G139" s="12">
        <f>IF(ISBLANK(G133), G132, G133)</f>
        <v>3</v>
      </c>
      <c r="H139" s="7"/>
      <c r="I139" s="11" t="s">
        <v>264</v>
      </c>
      <c r="J139">
        <v>84750</v>
      </c>
      <c r="K139">
        <v>3</v>
      </c>
    </row>
    <row r="140" spans="1:11" x14ac:dyDescent="0.35">
      <c r="A140" s="6" t="s">
        <v>265</v>
      </c>
      <c r="B140" s="7" t="s">
        <v>41</v>
      </c>
      <c r="C140" s="7" t="s">
        <v>42</v>
      </c>
      <c r="D140" s="7" t="s">
        <v>64</v>
      </c>
      <c r="E140" s="7">
        <v>84750</v>
      </c>
      <c r="F140" s="9">
        <v>42974</v>
      </c>
      <c r="G140" s="10">
        <v>4</v>
      </c>
      <c r="H140" s="7" t="s">
        <v>36</v>
      </c>
      <c r="I140" s="11" t="s">
        <v>60</v>
      </c>
      <c r="J140">
        <v>73348</v>
      </c>
      <c r="K140">
        <v>4</v>
      </c>
    </row>
    <row r="141" spans="1:11" x14ac:dyDescent="0.35">
      <c r="A141" s="6" t="s">
        <v>266</v>
      </c>
      <c r="B141" s="7" t="s">
        <v>54</v>
      </c>
      <c r="C141" s="7" t="s">
        <v>34</v>
      </c>
      <c r="D141" s="7"/>
      <c r="E141" s="7">
        <v>73348</v>
      </c>
      <c r="F141" s="9">
        <v>42981</v>
      </c>
      <c r="G141" s="10">
        <v>2</v>
      </c>
      <c r="H141" s="7"/>
      <c r="I141" s="11" t="s">
        <v>171</v>
      </c>
      <c r="J141" s="8">
        <v>66280.929577464791</v>
      </c>
      <c r="K141">
        <v>2</v>
      </c>
    </row>
    <row r="142" spans="1:11" x14ac:dyDescent="0.35">
      <c r="A142" s="6" t="s">
        <v>267</v>
      </c>
      <c r="B142" s="7" t="s">
        <v>41</v>
      </c>
      <c r="C142" s="7" t="s">
        <v>26</v>
      </c>
      <c r="D142" s="7" t="s">
        <v>27</v>
      </c>
      <c r="E142" s="8">
        <f ca="1">AVERAGE(Table14[Salary])</f>
        <v>66280.929577464791</v>
      </c>
      <c r="F142" s="9">
        <v>42988</v>
      </c>
      <c r="G142" s="10">
        <v>4</v>
      </c>
      <c r="H142" s="7" t="s">
        <v>19</v>
      </c>
      <c r="I142" s="11" t="s">
        <v>14</v>
      </c>
      <c r="J142">
        <v>66882</v>
      </c>
      <c r="K142">
        <v>4</v>
      </c>
    </row>
    <row r="143" spans="1:11" x14ac:dyDescent="0.35">
      <c r="A143" s="6" t="s">
        <v>268</v>
      </c>
      <c r="B143" s="7" t="s">
        <v>31</v>
      </c>
      <c r="C143" s="7" t="s">
        <v>42</v>
      </c>
      <c r="D143" s="7" t="s">
        <v>27</v>
      </c>
      <c r="E143" s="7">
        <v>66882</v>
      </c>
      <c r="F143" s="9">
        <v>42995</v>
      </c>
      <c r="G143" s="10">
        <v>5</v>
      </c>
      <c r="H143" s="7" t="s">
        <v>19</v>
      </c>
      <c r="I143" s="11" t="s">
        <v>85</v>
      </c>
      <c r="J143">
        <v>86775</v>
      </c>
      <c r="K143">
        <v>5</v>
      </c>
    </row>
    <row r="144" spans="1:11" x14ac:dyDescent="0.35">
      <c r="A144" s="6" t="s">
        <v>269</v>
      </c>
      <c r="B144" s="7" t="s">
        <v>22</v>
      </c>
      <c r="C144" s="7" t="s">
        <v>42</v>
      </c>
      <c r="D144" s="7"/>
      <c r="E144" s="7">
        <v>86775</v>
      </c>
      <c r="F144" s="9">
        <v>43002</v>
      </c>
      <c r="G144" s="10">
        <v>3</v>
      </c>
      <c r="H144" s="7" t="s">
        <v>19</v>
      </c>
      <c r="I144" s="11" t="s">
        <v>95</v>
      </c>
      <c r="J144">
        <v>91620</v>
      </c>
      <c r="K144">
        <v>3</v>
      </c>
    </row>
    <row r="145" spans="1:12" x14ac:dyDescent="0.35">
      <c r="A145" s="6" t="s">
        <v>270</v>
      </c>
      <c r="B145" s="7" t="s">
        <v>41</v>
      </c>
      <c r="C145" s="7" t="s">
        <v>26</v>
      </c>
      <c r="D145" s="7" t="s">
        <v>47</v>
      </c>
      <c r="E145" s="7">
        <v>91620</v>
      </c>
      <c r="F145" s="9">
        <v>43009</v>
      </c>
      <c r="G145" s="12">
        <f>IF(ISBLANK(G139), G138, G139)</f>
        <v>3</v>
      </c>
      <c r="H145" s="7"/>
      <c r="I145" s="11" t="s">
        <v>271</v>
      </c>
      <c r="J145">
        <v>94148</v>
      </c>
      <c r="K145">
        <v>3</v>
      </c>
    </row>
    <row r="146" spans="1:12" x14ac:dyDescent="0.35">
      <c r="A146" s="6" t="s">
        <v>272</v>
      </c>
      <c r="B146" s="7" t="s">
        <v>16</v>
      </c>
      <c r="C146" s="7"/>
      <c r="D146" s="7"/>
      <c r="E146" s="7">
        <v>94148</v>
      </c>
      <c r="F146" s="9">
        <v>43016</v>
      </c>
      <c r="G146" s="10">
        <v>2</v>
      </c>
      <c r="H146" s="7"/>
      <c r="I146" s="11" t="s">
        <v>273</v>
      </c>
      <c r="J146">
        <v>35627</v>
      </c>
      <c r="K146">
        <v>2</v>
      </c>
    </row>
    <row r="147" spans="1:12" x14ac:dyDescent="0.35">
      <c r="A147" s="6" t="s">
        <v>274</v>
      </c>
      <c r="B147" s="7" t="s">
        <v>39</v>
      </c>
      <c r="C147" s="7" t="s">
        <v>26</v>
      </c>
      <c r="D147" s="7" t="s">
        <v>64</v>
      </c>
      <c r="E147" s="7">
        <v>35627</v>
      </c>
      <c r="F147" s="9">
        <v>43023</v>
      </c>
      <c r="G147" s="10">
        <v>5</v>
      </c>
      <c r="H147" s="7" t="s">
        <v>36</v>
      </c>
      <c r="I147" s="11" t="s">
        <v>258</v>
      </c>
      <c r="J147">
        <v>57141</v>
      </c>
      <c r="K147">
        <v>5</v>
      </c>
    </row>
    <row r="148" spans="1:12" x14ac:dyDescent="0.35">
      <c r="A148" s="6" t="s">
        <v>275</v>
      </c>
      <c r="B148" s="7" t="s">
        <v>25</v>
      </c>
      <c r="C148" s="7" t="s">
        <v>42</v>
      </c>
      <c r="D148" s="7" t="s">
        <v>27</v>
      </c>
      <c r="E148" s="7">
        <v>57141</v>
      </c>
      <c r="F148" s="9">
        <v>43030</v>
      </c>
      <c r="G148" s="10">
        <v>2</v>
      </c>
      <c r="H148" s="7"/>
      <c r="I148" s="11" t="s">
        <v>264</v>
      </c>
      <c r="J148">
        <v>65270</v>
      </c>
      <c r="K148">
        <v>2</v>
      </c>
    </row>
    <row r="149" spans="1:12" x14ac:dyDescent="0.35">
      <c r="A149" s="6" t="s">
        <v>276</v>
      </c>
      <c r="B149" s="7" t="s">
        <v>54</v>
      </c>
      <c r="C149" s="7" t="s">
        <v>26</v>
      </c>
      <c r="D149" s="7" t="s">
        <v>64</v>
      </c>
      <c r="E149" s="7">
        <v>65270</v>
      </c>
      <c r="F149" s="9">
        <v>43037</v>
      </c>
      <c r="G149" s="10">
        <v>1</v>
      </c>
      <c r="H149" s="7"/>
      <c r="I149" s="11" t="s">
        <v>277</v>
      </c>
      <c r="J149">
        <v>67335</v>
      </c>
      <c r="K149">
        <v>1</v>
      </c>
    </row>
    <row r="150" spans="1:12" x14ac:dyDescent="0.35">
      <c r="A150" s="6" t="s">
        <v>278</v>
      </c>
      <c r="B150" s="7" t="s">
        <v>54</v>
      </c>
      <c r="C150" s="7"/>
      <c r="D150" s="7" t="s">
        <v>47</v>
      </c>
      <c r="E150" s="7">
        <v>67335</v>
      </c>
      <c r="F150" s="9">
        <v>43044</v>
      </c>
      <c r="G150" s="10">
        <v>1</v>
      </c>
      <c r="H150" s="7" t="s">
        <v>19</v>
      </c>
      <c r="I150" s="11" t="s">
        <v>144</v>
      </c>
      <c r="J150">
        <v>98475</v>
      </c>
      <c r="K150">
        <v>1</v>
      </c>
    </row>
    <row r="151" spans="1:12" x14ac:dyDescent="0.35">
      <c r="A151" s="15" t="s">
        <v>279</v>
      </c>
      <c r="B151" s="16" t="s">
        <v>39</v>
      </c>
      <c r="C151" s="16" t="s">
        <v>42</v>
      </c>
      <c r="D151" s="16" t="s">
        <v>35</v>
      </c>
      <c r="E151" s="16">
        <v>98475</v>
      </c>
      <c r="F151" s="17">
        <v>43051</v>
      </c>
      <c r="G151" s="18">
        <v>5</v>
      </c>
      <c r="H151" s="16" t="s">
        <v>19</v>
      </c>
      <c r="I151" s="19" t="s">
        <v>280</v>
      </c>
      <c r="K151">
        <v>5</v>
      </c>
    </row>
    <row r="152" spans="1:12" x14ac:dyDescent="0.35">
      <c r="F152" s="21"/>
      <c r="K152">
        <f>AVERAGE(K2:K151)</f>
        <v>2.74</v>
      </c>
      <c r="L152" t="s">
        <v>281</v>
      </c>
    </row>
    <row r="153" spans="1:12" x14ac:dyDescent="0.35">
      <c r="E153" s="8"/>
      <c r="H153" s="28" t="s">
        <v>4</v>
      </c>
      <c r="I153" s="28"/>
    </row>
    <row r="154" spans="1:12" x14ac:dyDescent="0.35">
      <c r="A154" s="29" t="s">
        <v>282</v>
      </c>
      <c r="B154" s="30" t="s">
        <v>283</v>
      </c>
      <c r="C154" s="31"/>
      <c r="D154" s="31"/>
      <c r="E154" s="31"/>
      <c r="F154" s="32"/>
      <c r="H154" s="24" t="s">
        <v>284</v>
      </c>
      <c r="I154" s="25">
        <f>SUM(J2:J151)</f>
        <v>9875858.5774647892</v>
      </c>
    </row>
    <row r="155" spans="1:12" x14ac:dyDescent="0.35">
      <c r="A155" s="29"/>
      <c r="B155" s="33" t="s">
        <v>285</v>
      </c>
      <c r="C155" s="33"/>
      <c r="D155" s="33"/>
      <c r="E155" s="33"/>
      <c r="F155" s="33"/>
      <c r="H155" s="24" t="s">
        <v>286</v>
      </c>
      <c r="I155" s="26">
        <f>COUNT(J2:J151)</f>
        <v>149</v>
      </c>
    </row>
    <row r="156" spans="1:12" x14ac:dyDescent="0.35">
      <c r="A156" s="29"/>
      <c r="B156" s="33" t="s">
        <v>287</v>
      </c>
      <c r="C156" s="33"/>
      <c r="D156" s="33"/>
      <c r="E156" s="33"/>
      <c r="F156" s="33"/>
      <c r="H156" s="24" t="s">
        <v>288</v>
      </c>
      <c r="I156" s="27">
        <f ca="1">AVERAGE(Table14[Salary])</f>
        <v>66280.929577464791</v>
      </c>
    </row>
    <row r="157" spans="1:12" x14ac:dyDescent="0.35">
      <c r="A157" s="29"/>
      <c r="B157" s="33" t="s">
        <v>289</v>
      </c>
      <c r="C157" s="33"/>
      <c r="D157" s="33"/>
      <c r="E157" s="33"/>
      <c r="F157" s="33"/>
    </row>
  </sheetData>
  <mergeCells count="6">
    <mergeCell ref="H153:I153"/>
    <mergeCell ref="A154:A157"/>
    <mergeCell ref="B154:F154"/>
    <mergeCell ref="B155:F155"/>
    <mergeCell ref="B156:F156"/>
    <mergeCell ref="B157:F157"/>
  </mergeCells>
  <hyperlinks>
    <hyperlink ref="I14" r:id="rId1" xr:uid="{032CD307-08F5-41F9-AD61-7A8459CC5602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D52A-CCC5-4A6B-B43A-9CBF9950590E}">
  <dimension ref="A1:J151"/>
  <sheetViews>
    <sheetView topLeftCell="A139" workbookViewId="0">
      <selection activeCell="H154" sqref="H154"/>
    </sheetView>
  </sheetViews>
  <sheetFormatPr defaultRowHeight="14.5" x14ac:dyDescent="0.35"/>
  <cols>
    <col min="1" max="1" width="13.453125" bestFit="1" customWidth="1"/>
    <col min="2" max="2" width="10.81640625" bestFit="1" customWidth="1"/>
    <col min="3" max="3" width="13.08984375" bestFit="1" customWidth="1"/>
    <col min="4" max="4" width="9.7265625" bestFit="1" customWidth="1"/>
    <col min="5" max="5" width="11.81640625" bestFit="1" customWidth="1"/>
    <col min="6" max="6" width="15.26953125" bestFit="1" customWidth="1"/>
    <col min="7" max="7" width="19.7265625" bestFit="1" customWidth="1"/>
    <col min="8" max="8" width="9.1796875" bestFit="1" customWidth="1"/>
    <col min="9" max="9" width="20.08984375" bestFit="1" customWidth="1"/>
    <col min="10" max="10" width="11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34" t="s">
        <v>10</v>
      </c>
      <c r="B2" s="34" t="s">
        <v>11</v>
      </c>
      <c r="C2" s="34" t="s">
        <v>12</v>
      </c>
      <c r="D2" s="34" t="s">
        <v>11</v>
      </c>
      <c r="E2">
        <v>66280.929577464791</v>
      </c>
      <c r="F2" s="36">
        <v>42008</v>
      </c>
      <c r="G2">
        <v>2</v>
      </c>
      <c r="H2" s="34" t="s">
        <v>11</v>
      </c>
      <c r="I2" s="34" t="s">
        <v>14</v>
      </c>
      <c r="J2">
        <v>54255</v>
      </c>
    </row>
    <row r="3" spans="1:10" x14ac:dyDescent="0.35">
      <c r="A3" s="34" t="s">
        <v>15</v>
      </c>
      <c r="B3" s="34" t="s">
        <v>16</v>
      </c>
      <c r="C3" s="34" t="s">
        <v>17</v>
      </c>
      <c r="D3" s="34" t="s">
        <v>18</v>
      </c>
      <c r="E3">
        <v>54255</v>
      </c>
      <c r="F3" s="36">
        <v>42015</v>
      </c>
      <c r="G3">
        <v>1</v>
      </c>
      <c r="H3" s="34" t="s">
        <v>19</v>
      </c>
      <c r="I3" s="34" t="s">
        <v>20</v>
      </c>
      <c r="J3">
        <v>63184</v>
      </c>
    </row>
    <row r="4" spans="1:10" x14ac:dyDescent="0.35">
      <c r="A4" s="34" t="s">
        <v>21</v>
      </c>
      <c r="B4" s="34" t="s">
        <v>22</v>
      </c>
      <c r="C4" s="34" t="s">
        <v>12</v>
      </c>
      <c r="D4" s="34" t="s">
        <v>18</v>
      </c>
      <c r="E4">
        <v>63184</v>
      </c>
      <c r="F4" s="36">
        <v>42022</v>
      </c>
      <c r="G4">
        <v>2</v>
      </c>
      <c r="H4" s="34" t="s">
        <v>295</v>
      </c>
      <c r="I4" s="34" t="s">
        <v>23</v>
      </c>
      <c r="J4">
        <v>94406</v>
      </c>
    </row>
    <row r="5" spans="1:10" x14ac:dyDescent="0.35">
      <c r="A5" s="34" t="s">
        <v>24</v>
      </c>
      <c r="B5" s="34" t="s">
        <v>25</v>
      </c>
      <c r="C5" s="34" t="s">
        <v>26</v>
      </c>
      <c r="D5" s="34" t="s">
        <v>27</v>
      </c>
      <c r="E5">
        <v>94406</v>
      </c>
      <c r="F5" s="36">
        <v>42029</v>
      </c>
      <c r="G5">
        <v>1</v>
      </c>
      <c r="H5" s="34" t="s">
        <v>28</v>
      </c>
      <c r="I5" s="34" t="s">
        <v>29</v>
      </c>
      <c r="J5">
        <v>64120</v>
      </c>
    </row>
    <row r="6" spans="1:10" x14ac:dyDescent="0.35">
      <c r="A6" s="34" t="s">
        <v>30</v>
      </c>
      <c r="B6" s="34" t="s">
        <v>31</v>
      </c>
      <c r="C6" s="34" t="s">
        <v>26</v>
      </c>
      <c r="D6" s="34" t="s">
        <v>18</v>
      </c>
      <c r="E6">
        <v>64120</v>
      </c>
      <c r="F6" s="36">
        <v>42036</v>
      </c>
      <c r="G6">
        <v>1</v>
      </c>
      <c r="H6" s="34" t="s">
        <v>28</v>
      </c>
      <c r="I6" s="34" t="s">
        <v>32</v>
      </c>
      <c r="J6">
        <v>78421</v>
      </c>
    </row>
    <row r="7" spans="1:10" x14ac:dyDescent="0.35">
      <c r="A7" s="34" t="s">
        <v>33</v>
      </c>
      <c r="B7" s="34" t="s">
        <v>22</v>
      </c>
      <c r="C7" s="34" t="s">
        <v>34</v>
      </c>
      <c r="D7" s="34" t="s">
        <v>35</v>
      </c>
      <c r="E7">
        <v>78421</v>
      </c>
      <c r="F7" s="36">
        <v>42043</v>
      </c>
      <c r="G7">
        <v>2</v>
      </c>
      <c r="H7" s="34" t="s">
        <v>36</v>
      </c>
      <c r="I7" s="34" t="s">
        <v>37</v>
      </c>
      <c r="J7">
        <v>67721</v>
      </c>
    </row>
    <row r="8" spans="1:10" x14ac:dyDescent="0.35">
      <c r="A8" s="34" t="s">
        <v>38</v>
      </c>
      <c r="B8" s="34" t="s">
        <v>39</v>
      </c>
      <c r="C8" s="34" t="s">
        <v>26</v>
      </c>
      <c r="D8" s="34" t="s">
        <v>35</v>
      </c>
      <c r="E8">
        <v>67721</v>
      </c>
      <c r="F8" s="36">
        <v>42050</v>
      </c>
      <c r="G8">
        <v>2</v>
      </c>
      <c r="H8" s="34" t="s">
        <v>28</v>
      </c>
      <c r="I8" s="34" t="s">
        <v>29</v>
      </c>
      <c r="J8">
        <v>35364</v>
      </c>
    </row>
    <row r="9" spans="1:10" x14ac:dyDescent="0.35">
      <c r="A9" s="34" t="s">
        <v>40</v>
      </c>
      <c r="B9" s="34" t="s">
        <v>41</v>
      </c>
      <c r="C9" s="34" t="s">
        <v>42</v>
      </c>
      <c r="D9" s="34" t="s">
        <v>35</v>
      </c>
      <c r="E9">
        <v>35364</v>
      </c>
      <c r="F9" s="36">
        <v>42057</v>
      </c>
      <c r="G9">
        <v>1</v>
      </c>
      <c r="H9" s="34" t="s">
        <v>19</v>
      </c>
      <c r="I9" s="34" t="s">
        <v>43</v>
      </c>
      <c r="J9">
        <v>97881</v>
      </c>
    </row>
    <row r="10" spans="1:10" x14ac:dyDescent="0.35">
      <c r="A10" s="34" t="s">
        <v>44</v>
      </c>
      <c r="B10" s="34" t="s">
        <v>22</v>
      </c>
      <c r="C10" s="34" t="s">
        <v>34</v>
      </c>
      <c r="D10" s="34" t="s">
        <v>18</v>
      </c>
      <c r="E10">
        <v>97881</v>
      </c>
      <c r="F10" s="36">
        <v>42064</v>
      </c>
      <c r="G10">
        <v>2</v>
      </c>
      <c r="H10" s="34" t="s">
        <v>36</v>
      </c>
      <c r="I10" s="34" t="s">
        <v>45</v>
      </c>
      <c r="J10">
        <v>91846</v>
      </c>
    </row>
    <row r="11" spans="1:10" x14ac:dyDescent="0.35">
      <c r="A11" s="34" t="s">
        <v>46</v>
      </c>
      <c r="B11" s="34" t="s">
        <v>41</v>
      </c>
      <c r="C11" s="34" t="s">
        <v>17</v>
      </c>
      <c r="D11" s="34" t="s">
        <v>47</v>
      </c>
      <c r="E11">
        <v>91846</v>
      </c>
      <c r="F11" s="36">
        <v>42071</v>
      </c>
      <c r="G11">
        <v>1</v>
      </c>
      <c r="H11" s="34" t="s">
        <v>28</v>
      </c>
      <c r="I11" s="34" t="s">
        <v>48</v>
      </c>
      <c r="J11">
        <v>64247</v>
      </c>
    </row>
    <row r="12" spans="1:10" x14ac:dyDescent="0.35">
      <c r="A12" s="34" t="s">
        <v>49</v>
      </c>
      <c r="B12" s="34" t="s">
        <v>39</v>
      </c>
      <c r="C12" s="34" t="s">
        <v>12</v>
      </c>
      <c r="D12" s="34" t="s">
        <v>47</v>
      </c>
      <c r="E12">
        <v>64247</v>
      </c>
      <c r="F12" s="36">
        <v>42078</v>
      </c>
      <c r="G12">
        <v>1</v>
      </c>
      <c r="H12" s="34" t="s">
        <v>36</v>
      </c>
      <c r="I12" s="34" t="s">
        <v>50</v>
      </c>
      <c r="J12">
        <v>91180</v>
      </c>
    </row>
    <row r="13" spans="1:10" x14ac:dyDescent="0.35">
      <c r="A13" s="34" t="s">
        <v>51</v>
      </c>
      <c r="B13" s="34" t="s">
        <v>39</v>
      </c>
      <c r="C13" s="34" t="s">
        <v>34</v>
      </c>
      <c r="D13" s="34" t="s">
        <v>27</v>
      </c>
      <c r="E13">
        <v>91180</v>
      </c>
      <c r="F13" s="36">
        <v>42085</v>
      </c>
      <c r="G13">
        <v>2</v>
      </c>
      <c r="H13" s="34" t="s">
        <v>28</v>
      </c>
      <c r="I13" s="34" t="s">
        <v>52</v>
      </c>
      <c r="J13">
        <v>96418</v>
      </c>
    </row>
    <row r="14" spans="1:10" x14ac:dyDescent="0.35">
      <c r="A14" s="34" t="s">
        <v>53</v>
      </c>
      <c r="B14" s="34" t="s">
        <v>54</v>
      </c>
      <c r="C14" s="34" t="s">
        <v>26</v>
      </c>
      <c r="D14" s="34" t="s">
        <v>27</v>
      </c>
      <c r="E14">
        <v>96418</v>
      </c>
      <c r="F14" s="36">
        <v>42092</v>
      </c>
      <c r="G14">
        <v>2</v>
      </c>
      <c r="H14" s="34" t="s">
        <v>28</v>
      </c>
      <c r="I14" s="34" t="s">
        <v>20</v>
      </c>
      <c r="J14">
        <v>62158</v>
      </c>
    </row>
    <row r="15" spans="1:10" x14ac:dyDescent="0.35">
      <c r="A15" s="34" t="s">
        <v>55</v>
      </c>
      <c r="B15" s="34" t="s">
        <v>39</v>
      </c>
      <c r="C15" s="34" t="s">
        <v>26</v>
      </c>
      <c r="D15" s="34" t="s">
        <v>35</v>
      </c>
      <c r="E15">
        <v>62158</v>
      </c>
      <c r="F15" s="36">
        <v>42099</v>
      </c>
      <c r="G15">
        <v>1</v>
      </c>
      <c r="H15" s="34" t="s">
        <v>295</v>
      </c>
      <c r="I15" s="34" t="s">
        <v>56</v>
      </c>
      <c r="J15">
        <v>59894</v>
      </c>
    </row>
    <row r="16" spans="1:10" x14ac:dyDescent="0.35">
      <c r="A16" s="34" t="s">
        <v>57</v>
      </c>
      <c r="B16" s="34" t="s">
        <v>31</v>
      </c>
      <c r="C16" s="34" t="s">
        <v>17</v>
      </c>
      <c r="D16" s="34" t="s">
        <v>35</v>
      </c>
      <c r="E16">
        <v>59894</v>
      </c>
      <c r="F16" s="36">
        <v>42106</v>
      </c>
      <c r="G16">
        <v>2</v>
      </c>
      <c r="H16" s="34" t="s">
        <v>28</v>
      </c>
      <c r="I16" s="34" t="s">
        <v>58</v>
      </c>
      <c r="J16">
        <v>92443</v>
      </c>
    </row>
    <row r="17" spans="1:10" x14ac:dyDescent="0.35">
      <c r="A17" s="34" t="s">
        <v>59</v>
      </c>
      <c r="B17" s="34" t="s">
        <v>11</v>
      </c>
      <c r="C17" s="34" t="s">
        <v>34</v>
      </c>
      <c r="D17" s="34" t="s">
        <v>35</v>
      </c>
      <c r="E17">
        <v>92443</v>
      </c>
      <c r="F17" s="36">
        <v>42113</v>
      </c>
      <c r="G17">
        <v>1</v>
      </c>
      <c r="H17" s="34" t="s">
        <v>19</v>
      </c>
      <c r="I17" s="34" t="s">
        <v>60</v>
      </c>
      <c r="J17">
        <v>90271</v>
      </c>
    </row>
    <row r="18" spans="1:10" x14ac:dyDescent="0.35">
      <c r="A18" s="34" t="s">
        <v>61</v>
      </c>
      <c r="B18" s="34" t="s">
        <v>54</v>
      </c>
      <c r="C18" s="34" t="s">
        <v>34</v>
      </c>
      <c r="D18" s="34" t="s">
        <v>18</v>
      </c>
      <c r="E18">
        <v>90271</v>
      </c>
      <c r="F18" s="36">
        <v>42120</v>
      </c>
      <c r="G18">
        <v>1</v>
      </c>
      <c r="H18" s="34" t="s">
        <v>295</v>
      </c>
      <c r="I18" s="34" t="s">
        <v>62</v>
      </c>
      <c r="J18">
        <v>41341</v>
      </c>
    </row>
    <row r="19" spans="1:10" x14ac:dyDescent="0.35">
      <c r="A19" s="34" t="s">
        <v>63</v>
      </c>
      <c r="B19" s="34" t="s">
        <v>31</v>
      </c>
      <c r="C19" s="34" t="s">
        <v>12</v>
      </c>
      <c r="D19" s="34" t="s">
        <v>64</v>
      </c>
      <c r="E19">
        <v>41341</v>
      </c>
      <c r="F19" s="36">
        <v>42127</v>
      </c>
      <c r="G19">
        <v>2</v>
      </c>
      <c r="H19" s="34" t="s">
        <v>19</v>
      </c>
      <c r="I19" s="34" t="s">
        <v>65</v>
      </c>
      <c r="J19">
        <v>73602</v>
      </c>
    </row>
    <row r="20" spans="1:10" x14ac:dyDescent="0.35">
      <c r="A20" s="34" t="s">
        <v>66</v>
      </c>
      <c r="B20" s="34" t="s">
        <v>22</v>
      </c>
      <c r="C20" s="34" t="s">
        <v>12</v>
      </c>
      <c r="D20" s="34" t="s">
        <v>47</v>
      </c>
      <c r="E20">
        <v>73602</v>
      </c>
      <c r="F20" s="36">
        <v>42134</v>
      </c>
      <c r="G20">
        <v>2</v>
      </c>
      <c r="H20" s="34" t="s">
        <v>295</v>
      </c>
      <c r="I20" s="34" t="s">
        <v>67</v>
      </c>
      <c r="J20">
        <v>67531</v>
      </c>
    </row>
    <row r="21" spans="1:10" x14ac:dyDescent="0.35">
      <c r="A21" s="34" t="s">
        <v>68</v>
      </c>
      <c r="B21" s="34" t="s">
        <v>16</v>
      </c>
      <c r="C21" s="34" t="s">
        <v>12</v>
      </c>
      <c r="D21" s="34" t="s">
        <v>35</v>
      </c>
      <c r="E21">
        <v>67531</v>
      </c>
      <c r="F21" s="36">
        <v>42141</v>
      </c>
      <c r="G21">
        <v>5</v>
      </c>
      <c r="H21" s="34" t="s">
        <v>36</v>
      </c>
      <c r="I21" s="34" t="s">
        <v>69</v>
      </c>
      <c r="J21">
        <v>66280.929577464791</v>
      </c>
    </row>
    <row r="22" spans="1:10" x14ac:dyDescent="0.35">
      <c r="A22" s="34" t="s">
        <v>70</v>
      </c>
      <c r="B22" s="34" t="s">
        <v>31</v>
      </c>
      <c r="C22" s="34" t="s">
        <v>17</v>
      </c>
      <c r="D22" s="34" t="s">
        <v>27</v>
      </c>
      <c r="E22">
        <v>66280.929577464791</v>
      </c>
      <c r="F22" s="36">
        <v>42148</v>
      </c>
      <c r="G22">
        <v>2</v>
      </c>
      <c r="H22" s="34" t="s">
        <v>19</v>
      </c>
      <c r="I22" s="34" t="s">
        <v>71</v>
      </c>
      <c r="J22">
        <v>98922</v>
      </c>
    </row>
    <row r="23" spans="1:10" x14ac:dyDescent="0.35">
      <c r="A23" s="34" t="s">
        <v>72</v>
      </c>
      <c r="B23" s="34" t="s">
        <v>31</v>
      </c>
      <c r="C23" s="34" t="s">
        <v>17</v>
      </c>
      <c r="D23" s="34" t="s">
        <v>27</v>
      </c>
      <c r="E23">
        <v>98922</v>
      </c>
      <c r="F23" s="36">
        <v>42155</v>
      </c>
      <c r="G23">
        <v>4</v>
      </c>
      <c r="H23" s="34" t="s">
        <v>295</v>
      </c>
      <c r="I23" s="34" t="s">
        <v>73</v>
      </c>
      <c r="J23">
        <v>38333</v>
      </c>
    </row>
    <row r="24" spans="1:10" x14ac:dyDescent="0.35">
      <c r="A24" s="34" t="s">
        <v>74</v>
      </c>
      <c r="B24" s="34" t="s">
        <v>16</v>
      </c>
      <c r="C24" s="34" t="s">
        <v>12</v>
      </c>
      <c r="D24" s="34" t="s">
        <v>35</v>
      </c>
      <c r="E24">
        <v>38333</v>
      </c>
      <c r="F24" s="36">
        <v>42162</v>
      </c>
      <c r="G24">
        <v>5</v>
      </c>
      <c r="H24" s="34" t="s">
        <v>295</v>
      </c>
      <c r="I24" s="34" t="s">
        <v>75</v>
      </c>
      <c r="J24">
        <v>36515</v>
      </c>
    </row>
    <row r="25" spans="1:10" x14ac:dyDescent="0.35">
      <c r="A25" s="34" t="s">
        <v>76</v>
      </c>
      <c r="B25" s="34" t="s">
        <v>22</v>
      </c>
      <c r="C25" s="34" t="s">
        <v>42</v>
      </c>
      <c r="D25" s="34" t="s">
        <v>47</v>
      </c>
      <c r="E25">
        <v>36515</v>
      </c>
      <c r="F25" s="36">
        <v>42169</v>
      </c>
      <c r="G25">
        <v>3</v>
      </c>
      <c r="H25" s="34" t="s">
        <v>28</v>
      </c>
      <c r="I25" s="34" t="s">
        <v>77</v>
      </c>
      <c r="J25">
        <v>91005</v>
      </c>
    </row>
    <row r="26" spans="1:10" x14ac:dyDescent="0.35">
      <c r="A26" s="34" t="s">
        <v>78</v>
      </c>
      <c r="B26" s="34" t="s">
        <v>39</v>
      </c>
      <c r="C26" s="34" t="s">
        <v>12</v>
      </c>
      <c r="D26" s="34" t="s">
        <v>47</v>
      </c>
      <c r="E26">
        <v>91005</v>
      </c>
      <c r="F26" s="36">
        <v>42176</v>
      </c>
      <c r="G26">
        <v>1</v>
      </c>
      <c r="H26" s="34" t="s">
        <v>19</v>
      </c>
      <c r="I26" s="34" t="s">
        <v>79</v>
      </c>
      <c r="J26">
        <v>52272</v>
      </c>
    </row>
    <row r="27" spans="1:10" x14ac:dyDescent="0.35">
      <c r="A27" s="34" t="s">
        <v>80</v>
      </c>
      <c r="B27" s="34" t="s">
        <v>41</v>
      </c>
      <c r="C27" s="34" t="s">
        <v>12</v>
      </c>
      <c r="D27" s="34" t="s">
        <v>11</v>
      </c>
      <c r="E27">
        <v>52272</v>
      </c>
      <c r="F27" s="36">
        <v>42183</v>
      </c>
      <c r="G27">
        <v>3</v>
      </c>
      <c r="H27" s="34" t="s">
        <v>295</v>
      </c>
      <c r="I27" s="34" t="s">
        <v>81</v>
      </c>
      <c r="J27">
        <v>76518</v>
      </c>
    </row>
    <row r="28" spans="1:10" x14ac:dyDescent="0.35">
      <c r="A28" s="34" t="s">
        <v>82</v>
      </c>
      <c r="B28" s="34" t="s">
        <v>16</v>
      </c>
      <c r="C28" s="34" t="s">
        <v>26</v>
      </c>
      <c r="D28" s="34" t="s">
        <v>18</v>
      </c>
      <c r="E28">
        <v>76518</v>
      </c>
      <c r="F28" s="36">
        <v>42190</v>
      </c>
      <c r="G28">
        <v>2</v>
      </c>
      <c r="H28" s="34" t="s">
        <v>36</v>
      </c>
      <c r="I28" s="34" t="s">
        <v>83</v>
      </c>
      <c r="J28">
        <v>41448</v>
      </c>
    </row>
    <row r="29" spans="1:10" x14ac:dyDescent="0.35">
      <c r="A29" s="34" t="s">
        <v>84</v>
      </c>
      <c r="B29" s="34" t="s">
        <v>22</v>
      </c>
      <c r="C29" s="34" t="s">
        <v>34</v>
      </c>
      <c r="D29" s="34" t="s">
        <v>47</v>
      </c>
      <c r="E29">
        <v>41448</v>
      </c>
      <c r="F29" s="36">
        <v>42197</v>
      </c>
      <c r="G29">
        <v>3</v>
      </c>
      <c r="H29" s="34" t="s">
        <v>19</v>
      </c>
      <c r="I29" s="34" t="s">
        <v>85</v>
      </c>
      <c r="J29">
        <v>49282</v>
      </c>
    </row>
    <row r="30" spans="1:10" x14ac:dyDescent="0.35">
      <c r="A30" s="34" t="s">
        <v>86</v>
      </c>
      <c r="B30" s="34" t="s">
        <v>25</v>
      </c>
      <c r="C30" s="34" t="s">
        <v>17</v>
      </c>
      <c r="D30" s="34" t="s">
        <v>47</v>
      </c>
      <c r="E30">
        <v>49282</v>
      </c>
      <c r="F30" s="36">
        <v>42204</v>
      </c>
      <c r="G30">
        <v>2</v>
      </c>
      <c r="H30" s="34" t="s">
        <v>36</v>
      </c>
      <c r="I30" s="34" t="s">
        <v>87</v>
      </c>
      <c r="J30">
        <v>92959</v>
      </c>
    </row>
    <row r="31" spans="1:10" x14ac:dyDescent="0.35">
      <c r="A31" s="34" t="s">
        <v>88</v>
      </c>
      <c r="B31" s="34" t="s">
        <v>54</v>
      </c>
      <c r="C31" s="34" t="s">
        <v>42</v>
      </c>
      <c r="D31" s="34" t="s">
        <v>47</v>
      </c>
      <c r="E31">
        <v>92959</v>
      </c>
      <c r="F31" s="36">
        <v>42211</v>
      </c>
      <c r="G31">
        <v>5</v>
      </c>
      <c r="H31" s="34" t="s">
        <v>295</v>
      </c>
      <c r="I31" s="34" t="s">
        <v>89</v>
      </c>
      <c r="J31">
        <v>92259</v>
      </c>
    </row>
    <row r="32" spans="1:10" x14ac:dyDescent="0.35">
      <c r="A32" s="34" t="s">
        <v>90</v>
      </c>
      <c r="B32" s="34" t="s">
        <v>11</v>
      </c>
      <c r="C32" s="34" t="s">
        <v>42</v>
      </c>
      <c r="D32" s="34" t="s">
        <v>47</v>
      </c>
      <c r="E32">
        <v>92259</v>
      </c>
      <c r="F32" s="36">
        <v>42218</v>
      </c>
      <c r="G32">
        <v>1</v>
      </c>
      <c r="H32" s="34" t="s">
        <v>11</v>
      </c>
      <c r="I32" s="34" t="s">
        <v>91</v>
      </c>
      <c r="J32">
        <v>92299</v>
      </c>
    </row>
    <row r="33" spans="1:10" x14ac:dyDescent="0.35">
      <c r="A33" s="34" t="s">
        <v>92</v>
      </c>
      <c r="B33" s="34" t="s">
        <v>16</v>
      </c>
      <c r="C33" s="34" t="s">
        <v>17</v>
      </c>
      <c r="D33" s="34" t="s">
        <v>18</v>
      </c>
      <c r="E33">
        <v>92299</v>
      </c>
      <c r="F33" s="36">
        <v>42225</v>
      </c>
      <c r="G33">
        <v>3</v>
      </c>
      <c r="H33" s="34" t="s">
        <v>28</v>
      </c>
      <c r="I33" s="34" t="s">
        <v>93</v>
      </c>
      <c r="J33">
        <v>95586</v>
      </c>
    </row>
    <row r="34" spans="1:10" x14ac:dyDescent="0.35">
      <c r="A34" s="34" t="s">
        <v>94</v>
      </c>
      <c r="B34" s="34" t="s">
        <v>39</v>
      </c>
      <c r="C34" s="34" t="s">
        <v>17</v>
      </c>
      <c r="D34" s="34" t="s">
        <v>18</v>
      </c>
      <c r="E34">
        <v>95586</v>
      </c>
      <c r="F34" s="36">
        <v>42232</v>
      </c>
      <c r="G34">
        <v>3</v>
      </c>
      <c r="H34" s="34" t="s">
        <v>19</v>
      </c>
      <c r="I34" s="34" t="s">
        <v>95</v>
      </c>
      <c r="J34">
        <v>95367</v>
      </c>
    </row>
    <row r="35" spans="1:10" x14ac:dyDescent="0.35">
      <c r="A35" s="34" t="s">
        <v>96</v>
      </c>
      <c r="B35" s="34" t="s">
        <v>41</v>
      </c>
      <c r="C35" s="34" t="s">
        <v>17</v>
      </c>
      <c r="D35" s="34" t="s">
        <v>27</v>
      </c>
      <c r="E35">
        <v>95367</v>
      </c>
      <c r="F35" s="36">
        <v>42239</v>
      </c>
      <c r="G35">
        <v>3</v>
      </c>
      <c r="H35" s="34" t="s">
        <v>28</v>
      </c>
      <c r="I35" s="34" t="s">
        <v>97</v>
      </c>
      <c r="J35">
        <v>79549</v>
      </c>
    </row>
    <row r="36" spans="1:10" x14ac:dyDescent="0.35">
      <c r="A36" s="34" t="s">
        <v>98</v>
      </c>
      <c r="B36" s="34" t="s">
        <v>25</v>
      </c>
      <c r="C36" s="34" t="s">
        <v>26</v>
      </c>
      <c r="D36" s="34" t="s">
        <v>64</v>
      </c>
      <c r="E36">
        <v>79549</v>
      </c>
      <c r="F36" s="36">
        <v>42246</v>
      </c>
      <c r="G36">
        <v>3</v>
      </c>
      <c r="H36" s="34" t="s">
        <v>295</v>
      </c>
      <c r="I36" s="34" t="s">
        <v>99</v>
      </c>
      <c r="J36">
        <v>54463</v>
      </c>
    </row>
    <row r="37" spans="1:10" x14ac:dyDescent="0.35">
      <c r="A37" s="34" t="s">
        <v>100</v>
      </c>
      <c r="B37" s="34" t="s">
        <v>22</v>
      </c>
      <c r="C37" s="34" t="s">
        <v>26</v>
      </c>
      <c r="D37" s="34" t="s">
        <v>47</v>
      </c>
      <c r="E37">
        <v>54463</v>
      </c>
      <c r="F37" s="36">
        <v>42253</v>
      </c>
      <c r="G37">
        <v>4</v>
      </c>
      <c r="H37" s="34" t="s">
        <v>28</v>
      </c>
      <c r="I37" s="34" t="s">
        <v>14</v>
      </c>
      <c r="J37">
        <v>89781</v>
      </c>
    </row>
    <row r="38" spans="1:10" x14ac:dyDescent="0.35">
      <c r="A38" s="34" t="s">
        <v>101</v>
      </c>
      <c r="B38" s="34" t="s">
        <v>22</v>
      </c>
      <c r="C38" s="34" t="s">
        <v>34</v>
      </c>
      <c r="D38" s="34" t="s">
        <v>27</v>
      </c>
      <c r="E38">
        <v>89781</v>
      </c>
      <c r="F38" s="36">
        <v>42260</v>
      </c>
      <c r="G38">
        <v>1</v>
      </c>
      <c r="H38" s="34" t="s">
        <v>36</v>
      </c>
      <c r="I38" s="34" t="s">
        <v>102</v>
      </c>
      <c r="J38">
        <v>64796</v>
      </c>
    </row>
    <row r="39" spans="1:10" x14ac:dyDescent="0.35">
      <c r="A39" s="34" t="s">
        <v>103</v>
      </c>
      <c r="B39" s="34" t="s">
        <v>22</v>
      </c>
      <c r="C39" s="34" t="s">
        <v>17</v>
      </c>
      <c r="D39" s="34" t="s">
        <v>27</v>
      </c>
      <c r="E39">
        <v>64796</v>
      </c>
      <c r="F39" s="36">
        <v>42267</v>
      </c>
      <c r="G39">
        <v>3</v>
      </c>
      <c r="H39" s="34" t="s">
        <v>19</v>
      </c>
      <c r="I39" s="34" t="s">
        <v>104</v>
      </c>
      <c r="J39">
        <v>52093</v>
      </c>
    </row>
    <row r="40" spans="1:10" x14ac:dyDescent="0.35">
      <c r="A40" s="34" t="s">
        <v>105</v>
      </c>
      <c r="B40" s="34" t="s">
        <v>25</v>
      </c>
      <c r="C40" s="34" t="s">
        <v>42</v>
      </c>
      <c r="D40" s="34" t="s">
        <v>47</v>
      </c>
      <c r="E40">
        <v>52093</v>
      </c>
      <c r="F40" s="36">
        <v>42274</v>
      </c>
      <c r="G40">
        <v>5</v>
      </c>
      <c r="H40" s="34" t="s">
        <v>295</v>
      </c>
      <c r="I40" s="34" t="s">
        <v>106</v>
      </c>
      <c r="J40">
        <v>48224</v>
      </c>
    </row>
    <row r="41" spans="1:10" x14ac:dyDescent="0.35">
      <c r="A41" s="34" t="s">
        <v>107</v>
      </c>
      <c r="B41" s="34" t="s">
        <v>41</v>
      </c>
      <c r="C41" s="34" t="s">
        <v>17</v>
      </c>
      <c r="D41" s="34" t="s">
        <v>47</v>
      </c>
      <c r="E41">
        <v>48224</v>
      </c>
      <c r="F41" s="36">
        <v>42281</v>
      </c>
      <c r="G41">
        <v>3</v>
      </c>
      <c r="H41" s="34" t="s">
        <v>295</v>
      </c>
      <c r="I41" s="34" t="s">
        <v>108</v>
      </c>
      <c r="J41">
        <v>66280.929577464791</v>
      </c>
    </row>
    <row r="42" spans="1:10" x14ac:dyDescent="0.35">
      <c r="A42" s="34" t="s">
        <v>109</v>
      </c>
      <c r="B42" s="34" t="s">
        <v>54</v>
      </c>
      <c r="C42" s="34" t="s">
        <v>12</v>
      </c>
      <c r="D42" s="34" t="s">
        <v>47</v>
      </c>
      <c r="E42">
        <v>66280.929577464791</v>
      </c>
      <c r="F42" s="36">
        <v>42288</v>
      </c>
      <c r="G42">
        <v>4</v>
      </c>
      <c r="H42" s="34" t="s">
        <v>36</v>
      </c>
      <c r="I42" s="34" t="s">
        <v>110</v>
      </c>
      <c r="J42">
        <v>33956</v>
      </c>
    </row>
    <row r="43" spans="1:10" x14ac:dyDescent="0.35">
      <c r="A43" s="34" t="s">
        <v>111</v>
      </c>
      <c r="B43" s="34" t="s">
        <v>22</v>
      </c>
      <c r="C43" s="34" t="s">
        <v>34</v>
      </c>
      <c r="D43" s="34" t="s">
        <v>18</v>
      </c>
      <c r="E43">
        <v>33956</v>
      </c>
      <c r="F43" s="36">
        <v>42295</v>
      </c>
      <c r="G43">
        <v>4</v>
      </c>
      <c r="H43" s="34" t="s">
        <v>295</v>
      </c>
      <c r="I43" s="34" t="s">
        <v>112</v>
      </c>
      <c r="J43">
        <v>64913</v>
      </c>
    </row>
    <row r="44" spans="1:10" x14ac:dyDescent="0.35">
      <c r="A44" s="34" t="s">
        <v>113</v>
      </c>
      <c r="B44" s="34" t="s">
        <v>54</v>
      </c>
      <c r="C44" s="34" t="s">
        <v>34</v>
      </c>
      <c r="D44" s="34" t="s">
        <v>64</v>
      </c>
      <c r="E44">
        <v>64913</v>
      </c>
      <c r="F44" s="36">
        <v>42302</v>
      </c>
      <c r="G44">
        <v>1</v>
      </c>
      <c r="H44" s="34" t="s">
        <v>36</v>
      </c>
      <c r="I44" s="34" t="s">
        <v>114</v>
      </c>
      <c r="J44">
        <v>35326</v>
      </c>
    </row>
    <row r="45" spans="1:10" x14ac:dyDescent="0.35">
      <c r="A45" s="34" t="s">
        <v>115</v>
      </c>
      <c r="B45" s="34" t="s">
        <v>22</v>
      </c>
      <c r="C45" s="34" t="s">
        <v>42</v>
      </c>
      <c r="D45" s="34" t="s">
        <v>64</v>
      </c>
      <c r="E45">
        <v>35326</v>
      </c>
      <c r="F45" s="36">
        <v>42309</v>
      </c>
      <c r="G45">
        <v>3</v>
      </c>
      <c r="H45" s="34" t="s">
        <v>36</v>
      </c>
      <c r="I45" s="34" t="s">
        <v>116</v>
      </c>
      <c r="J45">
        <v>81610</v>
      </c>
    </row>
    <row r="46" spans="1:10" x14ac:dyDescent="0.35">
      <c r="A46" s="34" t="s">
        <v>117</v>
      </c>
      <c r="B46" s="34" t="s">
        <v>41</v>
      </c>
      <c r="C46" s="34" t="s">
        <v>12</v>
      </c>
      <c r="D46" s="34" t="s">
        <v>64</v>
      </c>
      <c r="E46">
        <v>81610</v>
      </c>
      <c r="F46" s="36">
        <v>42316</v>
      </c>
      <c r="G46">
        <v>1</v>
      </c>
      <c r="H46" s="34" t="s">
        <v>295</v>
      </c>
      <c r="I46" s="34" t="s">
        <v>118</v>
      </c>
      <c r="J46">
        <v>58962</v>
      </c>
    </row>
    <row r="47" spans="1:10" x14ac:dyDescent="0.35">
      <c r="A47" s="34" t="s">
        <v>119</v>
      </c>
      <c r="B47" s="34" t="s">
        <v>11</v>
      </c>
      <c r="C47" s="34" t="s">
        <v>17</v>
      </c>
      <c r="D47" s="34" t="s">
        <v>64</v>
      </c>
      <c r="E47">
        <v>58962</v>
      </c>
      <c r="F47" s="36">
        <v>42323</v>
      </c>
      <c r="G47">
        <v>3</v>
      </c>
      <c r="H47" s="34" t="s">
        <v>19</v>
      </c>
      <c r="I47" s="34" t="s">
        <v>20</v>
      </c>
      <c r="J47">
        <v>92701</v>
      </c>
    </row>
    <row r="48" spans="1:10" x14ac:dyDescent="0.35">
      <c r="A48" s="34" t="s">
        <v>120</v>
      </c>
      <c r="B48" s="34" t="s">
        <v>41</v>
      </c>
      <c r="C48" s="34" t="s">
        <v>34</v>
      </c>
      <c r="D48" s="34" t="s">
        <v>18</v>
      </c>
      <c r="E48">
        <v>92701</v>
      </c>
      <c r="F48" s="36">
        <v>42330</v>
      </c>
      <c r="G48">
        <v>3</v>
      </c>
      <c r="H48" s="34" t="s">
        <v>19</v>
      </c>
      <c r="I48" s="34" t="s">
        <v>121</v>
      </c>
      <c r="J48">
        <v>58245</v>
      </c>
    </row>
    <row r="49" spans="1:10" x14ac:dyDescent="0.35">
      <c r="A49" s="34" t="s">
        <v>122</v>
      </c>
      <c r="B49" s="34" t="s">
        <v>41</v>
      </c>
      <c r="C49" s="34" t="s">
        <v>17</v>
      </c>
      <c r="D49" s="34" t="s">
        <v>35</v>
      </c>
      <c r="E49">
        <v>58245</v>
      </c>
      <c r="F49" s="36">
        <v>42337</v>
      </c>
      <c r="G49">
        <v>4</v>
      </c>
      <c r="H49" s="34" t="s">
        <v>295</v>
      </c>
      <c r="I49" s="34" t="s">
        <v>123</v>
      </c>
      <c r="J49">
        <v>66513</v>
      </c>
    </row>
    <row r="50" spans="1:10" x14ac:dyDescent="0.35">
      <c r="A50" s="34" t="s">
        <v>124</v>
      </c>
      <c r="B50" s="34" t="s">
        <v>25</v>
      </c>
      <c r="C50" s="34" t="s">
        <v>12</v>
      </c>
      <c r="D50" s="34" t="s">
        <v>35</v>
      </c>
      <c r="E50">
        <v>66513</v>
      </c>
      <c r="F50" s="36">
        <v>42344</v>
      </c>
      <c r="G50">
        <v>2</v>
      </c>
      <c r="H50" s="34" t="s">
        <v>19</v>
      </c>
      <c r="I50" s="34" t="s">
        <v>37</v>
      </c>
      <c r="J50">
        <v>78720</v>
      </c>
    </row>
    <row r="51" spans="1:10" x14ac:dyDescent="0.35">
      <c r="A51" s="34" t="s">
        <v>125</v>
      </c>
      <c r="B51" s="34" t="s">
        <v>16</v>
      </c>
      <c r="C51" s="34" t="s">
        <v>17</v>
      </c>
      <c r="D51" s="34" t="s">
        <v>18</v>
      </c>
      <c r="E51">
        <v>78720</v>
      </c>
      <c r="F51" s="36">
        <v>42351</v>
      </c>
      <c r="G51">
        <v>5</v>
      </c>
      <c r="H51" s="34" t="s">
        <v>36</v>
      </c>
      <c r="I51" s="34" t="s">
        <v>110</v>
      </c>
      <c r="J51">
        <v>30686</v>
      </c>
    </row>
    <row r="52" spans="1:10" x14ac:dyDescent="0.35">
      <c r="A52" s="34" t="s">
        <v>126</v>
      </c>
      <c r="B52" s="34" t="s">
        <v>41</v>
      </c>
      <c r="C52" s="34" t="s">
        <v>17</v>
      </c>
      <c r="D52" s="34" t="s">
        <v>11</v>
      </c>
      <c r="E52">
        <v>30686</v>
      </c>
      <c r="F52" s="36">
        <v>42358</v>
      </c>
      <c r="G52">
        <v>2</v>
      </c>
      <c r="H52" s="34" t="s">
        <v>36</v>
      </c>
      <c r="I52" s="34" t="s">
        <v>127</v>
      </c>
      <c r="J52">
        <v>39423</v>
      </c>
    </row>
    <row r="53" spans="1:10" x14ac:dyDescent="0.35">
      <c r="A53" s="34" t="s">
        <v>128</v>
      </c>
      <c r="B53" s="34" t="s">
        <v>39</v>
      </c>
      <c r="C53" s="34" t="s">
        <v>26</v>
      </c>
      <c r="D53" s="34" t="s">
        <v>35</v>
      </c>
      <c r="E53">
        <v>39423</v>
      </c>
      <c r="F53" s="36">
        <v>42365</v>
      </c>
      <c r="G53">
        <v>5</v>
      </c>
      <c r="H53" s="34" t="s">
        <v>295</v>
      </c>
      <c r="I53" s="34" t="s">
        <v>129</v>
      </c>
      <c r="J53">
        <v>30280</v>
      </c>
    </row>
    <row r="54" spans="1:10" x14ac:dyDescent="0.35">
      <c r="A54" s="34" t="s">
        <v>130</v>
      </c>
      <c r="B54" s="34" t="s">
        <v>16</v>
      </c>
      <c r="C54" s="34" t="s">
        <v>42</v>
      </c>
      <c r="D54" s="34" t="s">
        <v>35</v>
      </c>
      <c r="E54">
        <v>30280</v>
      </c>
      <c r="F54" s="36">
        <v>42372</v>
      </c>
      <c r="G54">
        <v>1</v>
      </c>
      <c r="H54" s="34" t="s">
        <v>295</v>
      </c>
      <c r="I54" s="34" t="s">
        <v>131</v>
      </c>
      <c r="J54">
        <v>33352</v>
      </c>
    </row>
    <row r="55" spans="1:10" x14ac:dyDescent="0.35">
      <c r="A55" s="34" t="s">
        <v>132</v>
      </c>
      <c r="B55" s="34" t="s">
        <v>16</v>
      </c>
      <c r="C55" s="34" t="s">
        <v>12</v>
      </c>
      <c r="D55" s="34" t="s">
        <v>47</v>
      </c>
      <c r="E55">
        <v>33352</v>
      </c>
      <c r="F55" s="36">
        <v>42379</v>
      </c>
      <c r="G55">
        <v>3</v>
      </c>
      <c r="H55" s="34" t="s">
        <v>36</v>
      </c>
      <c r="I55" s="34" t="s">
        <v>71</v>
      </c>
      <c r="J55">
        <v>75633</v>
      </c>
    </row>
    <row r="56" spans="1:10" x14ac:dyDescent="0.35">
      <c r="A56" s="34" t="s">
        <v>133</v>
      </c>
      <c r="B56" s="34" t="s">
        <v>54</v>
      </c>
      <c r="C56" s="34" t="s">
        <v>42</v>
      </c>
      <c r="D56" s="34" t="s">
        <v>47</v>
      </c>
      <c r="E56">
        <v>75633</v>
      </c>
      <c r="F56" s="36">
        <v>42386</v>
      </c>
      <c r="G56">
        <v>5</v>
      </c>
      <c r="H56" s="34" t="s">
        <v>19</v>
      </c>
      <c r="I56" s="34" t="s">
        <v>134</v>
      </c>
      <c r="J56">
        <v>74815</v>
      </c>
    </row>
    <row r="57" spans="1:10" x14ac:dyDescent="0.35">
      <c r="A57" s="34" t="s">
        <v>135</v>
      </c>
      <c r="B57" s="34" t="s">
        <v>41</v>
      </c>
      <c r="C57" s="34" t="s">
        <v>42</v>
      </c>
      <c r="D57" s="34" t="s">
        <v>27</v>
      </c>
      <c r="E57">
        <v>74815</v>
      </c>
      <c r="F57" s="36">
        <v>42393</v>
      </c>
      <c r="G57">
        <v>5</v>
      </c>
      <c r="H57" s="34" t="s">
        <v>36</v>
      </c>
      <c r="I57" s="34" t="s">
        <v>136</v>
      </c>
      <c r="J57">
        <v>60011</v>
      </c>
    </row>
    <row r="58" spans="1:10" x14ac:dyDescent="0.35">
      <c r="A58" s="34" t="s">
        <v>137</v>
      </c>
      <c r="B58" s="34" t="s">
        <v>25</v>
      </c>
      <c r="C58" s="34" t="s">
        <v>26</v>
      </c>
      <c r="D58" s="34" t="s">
        <v>64</v>
      </c>
      <c r="E58">
        <v>60011</v>
      </c>
      <c r="F58" s="36">
        <v>42400</v>
      </c>
      <c r="G58">
        <v>1</v>
      </c>
      <c r="H58" s="34" t="s">
        <v>28</v>
      </c>
      <c r="I58" s="34" t="s">
        <v>138</v>
      </c>
      <c r="J58">
        <v>96949</v>
      </c>
    </row>
    <row r="59" spans="1:10" x14ac:dyDescent="0.35">
      <c r="A59" s="34" t="s">
        <v>139</v>
      </c>
      <c r="B59" s="34" t="s">
        <v>16</v>
      </c>
      <c r="C59" s="34" t="s">
        <v>26</v>
      </c>
      <c r="D59" s="34" t="s">
        <v>35</v>
      </c>
      <c r="E59">
        <v>96949</v>
      </c>
      <c r="F59" s="36">
        <v>42407</v>
      </c>
      <c r="G59">
        <v>3</v>
      </c>
      <c r="H59" s="34" t="s">
        <v>295</v>
      </c>
      <c r="I59" s="34" t="s">
        <v>85</v>
      </c>
      <c r="J59">
        <v>84924</v>
      </c>
    </row>
    <row r="60" spans="1:10" x14ac:dyDescent="0.35">
      <c r="A60" s="34" t="s">
        <v>140</v>
      </c>
      <c r="B60" s="34" t="s">
        <v>39</v>
      </c>
      <c r="C60" s="34" t="s">
        <v>42</v>
      </c>
      <c r="D60" s="34" t="s">
        <v>35</v>
      </c>
      <c r="E60">
        <v>84924</v>
      </c>
      <c r="F60" s="36">
        <v>42414</v>
      </c>
      <c r="G60">
        <v>5</v>
      </c>
      <c r="H60" s="34" t="s">
        <v>28</v>
      </c>
      <c r="I60" s="34" t="s">
        <v>141</v>
      </c>
      <c r="J60">
        <v>82033</v>
      </c>
    </row>
    <row r="61" spans="1:10" x14ac:dyDescent="0.35">
      <c r="A61" s="34" t="s">
        <v>142</v>
      </c>
      <c r="B61" s="34" t="s">
        <v>39</v>
      </c>
      <c r="C61" s="34" t="s">
        <v>12</v>
      </c>
      <c r="D61" s="34" t="s">
        <v>27</v>
      </c>
      <c r="E61">
        <v>82033</v>
      </c>
      <c r="F61" s="36">
        <v>42421</v>
      </c>
      <c r="G61">
        <v>1</v>
      </c>
      <c r="H61" s="34" t="s">
        <v>295</v>
      </c>
      <c r="I61" s="34" t="s">
        <v>118</v>
      </c>
      <c r="J61">
        <v>66280.929577464791</v>
      </c>
    </row>
    <row r="62" spans="1:10" x14ac:dyDescent="0.35">
      <c r="A62" s="34" t="s">
        <v>143</v>
      </c>
      <c r="B62" s="34" t="s">
        <v>11</v>
      </c>
      <c r="C62" s="34" t="s">
        <v>42</v>
      </c>
      <c r="D62" s="34" t="s">
        <v>18</v>
      </c>
      <c r="E62">
        <v>66280.929577464791</v>
      </c>
      <c r="F62" s="36">
        <v>42428</v>
      </c>
      <c r="G62">
        <v>5</v>
      </c>
      <c r="H62" s="34" t="s">
        <v>11</v>
      </c>
      <c r="I62" s="34" t="s">
        <v>144</v>
      </c>
      <c r="J62">
        <v>31499</v>
      </c>
    </row>
    <row r="63" spans="1:10" x14ac:dyDescent="0.35">
      <c r="A63" s="34" t="s">
        <v>145</v>
      </c>
      <c r="B63" s="34" t="s">
        <v>16</v>
      </c>
      <c r="C63" s="34" t="s">
        <v>42</v>
      </c>
      <c r="D63" s="34" t="s">
        <v>64</v>
      </c>
      <c r="E63">
        <v>31499</v>
      </c>
      <c r="F63" s="36">
        <v>42435</v>
      </c>
      <c r="G63">
        <v>2</v>
      </c>
      <c r="H63" s="34" t="s">
        <v>295</v>
      </c>
      <c r="I63" s="34" t="s">
        <v>102</v>
      </c>
      <c r="J63">
        <v>97981</v>
      </c>
    </row>
    <row r="64" spans="1:10" x14ac:dyDescent="0.35">
      <c r="A64" s="34" t="s">
        <v>146</v>
      </c>
      <c r="B64" s="34" t="s">
        <v>41</v>
      </c>
      <c r="C64" s="34" t="s">
        <v>34</v>
      </c>
      <c r="D64" s="34" t="s">
        <v>47</v>
      </c>
      <c r="E64">
        <v>97981</v>
      </c>
      <c r="F64" s="36">
        <v>42442</v>
      </c>
      <c r="G64">
        <v>5</v>
      </c>
      <c r="H64" s="34" t="s">
        <v>36</v>
      </c>
      <c r="I64" s="34" t="s">
        <v>147</v>
      </c>
      <c r="J64">
        <v>36541</v>
      </c>
    </row>
    <row r="65" spans="1:10" x14ac:dyDescent="0.35">
      <c r="A65" s="34" t="s">
        <v>148</v>
      </c>
      <c r="B65" s="34" t="s">
        <v>16</v>
      </c>
      <c r="C65" s="34" t="s">
        <v>17</v>
      </c>
      <c r="D65" s="34" t="s">
        <v>27</v>
      </c>
      <c r="E65">
        <v>36541</v>
      </c>
      <c r="F65" s="36">
        <v>42449</v>
      </c>
      <c r="G65">
        <v>2</v>
      </c>
      <c r="H65" s="34" t="s">
        <v>19</v>
      </c>
      <c r="I65" s="34" t="s">
        <v>149</v>
      </c>
      <c r="J65">
        <v>84737</v>
      </c>
    </row>
    <row r="66" spans="1:10" x14ac:dyDescent="0.35">
      <c r="A66" s="34" t="s">
        <v>150</v>
      </c>
      <c r="B66" s="34" t="s">
        <v>25</v>
      </c>
      <c r="C66" s="34" t="s">
        <v>34</v>
      </c>
      <c r="D66" s="34" t="s">
        <v>35</v>
      </c>
      <c r="E66">
        <v>84737</v>
      </c>
      <c r="F66" s="36">
        <v>42456</v>
      </c>
      <c r="G66">
        <v>1</v>
      </c>
      <c r="H66" s="34" t="s">
        <v>28</v>
      </c>
      <c r="I66" s="34" t="s">
        <v>151</v>
      </c>
      <c r="J66">
        <v>33468</v>
      </c>
    </row>
    <row r="67" spans="1:10" x14ac:dyDescent="0.35">
      <c r="A67" s="34" t="s">
        <v>152</v>
      </c>
      <c r="B67" s="34" t="s">
        <v>39</v>
      </c>
      <c r="C67" s="34" t="s">
        <v>12</v>
      </c>
      <c r="D67" s="34" t="s">
        <v>35</v>
      </c>
      <c r="E67">
        <v>33468</v>
      </c>
      <c r="F67" s="36">
        <v>42463</v>
      </c>
      <c r="G67">
        <v>4</v>
      </c>
      <c r="H67" s="34" t="s">
        <v>28</v>
      </c>
      <c r="I67" s="34" t="s">
        <v>153</v>
      </c>
      <c r="J67">
        <v>96365</v>
      </c>
    </row>
    <row r="68" spans="1:10" x14ac:dyDescent="0.35">
      <c r="A68" s="34" t="s">
        <v>154</v>
      </c>
      <c r="B68" s="34" t="s">
        <v>39</v>
      </c>
      <c r="C68" s="34" t="s">
        <v>12</v>
      </c>
      <c r="D68" s="34" t="s">
        <v>64</v>
      </c>
      <c r="E68">
        <v>96365</v>
      </c>
      <c r="F68" s="36">
        <v>42470</v>
      </c>
      <c r="G68">
        <v>3</v>
      </c>
      <c r="H68" s="34" t="s">
        <v>19</v>
      </c>
      <c r="I68" s="34" t="s">
        <v>155</v>
      </c>
      <c r="J68">
        <v>61942</v>
      </c>
    </row>
    <row r="69" spans="1:10" x14ac:dyDescent="0.35">
      <c r="A69" s="34" t="s">
        <v>156</v>
      </c>
      <c r="B69" s="34" t="s">
        <v>22</v>
      </c>
      <c r="C69" s="34" t="s">
        <v>26</v>
      </c>
      <c r="D69" s="34" t="s">
        <v>35</v>
      </c>
      <c r="E69">
        <v>61942</v>
      </c>
      <c r="F69" s="36">
        <v>42477</v>
      </c>
      <c r="G69">
        <v>3</v>
      </c>
      <c r="H69" s="34" t="s">
        <v>36</v>
      </c>
      <c r="I69" s="34" t="s">
        <v>157</v>
      </c>
      <c r="J69">
        <v>41467</v>
      </c>
    </row>
    <row r="70" spans="1:10" x14ac:dyDescent="0.35">
      <c r="A70" s="34" t="s">
        <v>158</v>
      </c>
      <c r="B70" s="34" t="s">
        <v>39</v>
      </c>
      <c r="C70" s="34" t="s">
        <v>12</v>
      </c>
      <c r="D70" s="34" t="s">
        <v>47</v>
      </c>
      <c r="E70">
        <v>41467</v>
      </c>
      <c r="F70" s="36">
        <v>42484</v>
      </c>
      <c r="G70">
        <v>2</v>
      </c>
      <c r="H70" s="34" t="s">
        <v>295</v>
      </c>
      <c r="I70" s="34" t="s">
        <v>73</v>
      </c>
      <c r="J70">
        <v>77096</v>
      </c>
    </row>
    <row r="71" spans="1:10" x14ac:dyDescent="0.35">
      <c r="A71" s="34" t="s">
        <v>159</v>
      </c>
      <c r="B71" s="34" t="s">
        <v>54</v>
      </c>
      <c r="C71" s="34" t="s">
        <v>12</v>
      </c>
      <c r="D71" s="34" t="s">
        <v>35</v>
      </c>
      <c r="E71">
        <v>77096</v>
      </c>
      <c r="F71" s="36">
        <v>42491</v>
      </c>
      <c r="G71">
        <v>1</v>
      </c>
      <c r="H71" s="34" t="s">
        <v>295</v>
      </c>
      <c r="I71" s="34" t="s">
        <v>160</v>
      </c>
      <c r="J71">
        <v>69952</v>
      </c>
    </row>
    <row r="72" spans="1:10" x14ac:dyDescent="0.35">
      <c r="A72" s="34" t="s">
        <v>161</v>
      </c>
      <c r="B72" s="34" t="s">
        <v>16</v>
      </c>
      <c r="C72" s="34" t="s">
        <v>26</v>
      </c>
      <c r="D72" s="34" t="s">
        <v>64</v>
      </c>
      <c r="E72">
        <v>69952</v>
      </c>
      <c r="F72" s="36">
        <v>42498</v>
      </c>
      <c r="G72">
        <v>5</v>
      </c>
      <c r="H72" s="34" t="s">
        <v>36</v>
      </c>
      <c r="I72" s="34" t="s">
        <v>14</v>
      </c>
      <c r="J72">
        <v>85065</v>
      </c>
    </row>
    <row r="73" spans="1:10" x14ac:dyDescent="0.35">
      <c r="A73" s="34" t="s">
        <v>162</v>
      </c>
      <c r="B73" s="34" t="s">
        <v>16</v>
      </c>
      <c r="C73" s="34" t="s">
        <v>42</v>
      </c>
      <c r="D73" s="34" t="s">
        <v>27</v>
      </c>
      <c r="E73">
        <v>85065</v>
      </c>
      <c r="F73" s="36">
        <v>42505</v>
      </c>
      <c r="G73">
        <v>3</v>
      </c>
      <c r="H73" s="34" t="s">
        <v>295</v>
      </c>
      <c r="I73" s="34" t="s">
        <v>163</v>
      </c>
      <c r="J73">
        <v>56512</v>
      </c>
    </row>
    <row r="74" spans="1:10" x14ac:dyDescent="0.35">
      <c r="A74" s="34" t="s">
        <v>164</v>
      </c>
      <c r="B74" s="34" t="s">
        <v>54</v>
      </c>
      <c r="C74" s="34" t="s">
        <v>42</v>
      </c>
      <c r="D74" s="34" t="s">
        <v>35</v>
      </c>
      <c r="E74">
        <v>56512</v>
      </c>
      <c r="F74" s="36">
        <v>42512</v>
      </c>
      <c r="G74">
        <v>3</v>
      </c>
      <c r="H74" s="34" t="s">
        <v>19</v>
      </c>
      <c r="I74" s="34" t="s">
        <v>48</v>
      </c>
      <c r="J74">
        <v>91101</v>
      </c>
    </row>
    <row r="75" spans="1:10" x14ac:dyDescent="0.35">
      <c r="A75" s="34" t="s">
        <v>165</v>
      </c>
      <c r="B75" s="34" t="s">
        <v>25</v>
      </c>
      <c r="C75" s="34" t="s">
        <v>26</v>
      </c>
      <c r="D75" s="34" t="s">
        <v>35</v>
      </c>
      <c r="E75">
        <v>91101</v>
      </c>
      <c r="F75" s="36">
        <v>42519</v>
      </c>
      <c r="G75">
        <v>4</v>
      </c>
      <c r="H75" s="34" t="s">
        <v>36</v>
      </c>
      <c r="I75" s="34" t="s">
        <v>147</v>
      </c>
      <c r="J75">
        <v>41243</v>
      </c>
    </row>
    <row r="76" spans="1:10" x14ac:dyDescent="0.35">
      <c r="A76" s="34" t="s">
        <v>166</v>
      </c>
      <c r="B76" s="34" t="s">
        <v>39</v>
      </c>
      <c r="C76" s="34" t="s">
        <v>26</v>
      </c>
      <c r="D76" s="34" t="s">
        <v>18</v>
      </c>
      <c r="E76">
        <v>41243</v>
      </c>
      <c r="F76" s="36">
        <v>42526</v>
      </c>
      <c r="G76">
        <v>2</v>
      </c>
      <c r="H76" s="34" t="s">
        <v>295</v>
      </c>
      <c r="I76" s="34" t="s">
        <v>93</v>
      </c>
      <c r="J76">
        <v>96142</v>
      </c>
    </row>
    <row r="77" spans="1:10" x14ac:dyDescent="0.35">
      <c r="A77" s="34" t="s">
        <v>167</v>
      </c>
      <c r="B77" s="34" t="s">
        <v>11</v>
      </c>
      <c r="C77" s="34" t="s">
        <v>26</v>
      </c>
      <c r="D77" s="34" t="s">
        <v>11</v>
      </c>
      <c r="E77">
        <v>96142</v>
      </c>
      <c r="F77" s="36">
        <v>42533</v>
      </c>
      <c r="G77">
        <v>1</v>
      </c>
      <c r="H77" s="34" t="s">
        <v>19</v>
      </c>
      <c r="I77" s="34" t="s">
        <v>168</v>
      </c>
      <c r="J77">
        <v>94301</v>
      </c>
    </row>
    <row r="78" spans="1:10" x14ac:dyDescent="0.35">
      <c r="A78" s="34" t="s">
        <v>169</v>
      </c>
      <c r="B78" s="34" t="s">
        <v>16</v>
      </c>
      <c r="C78" s="34" t="s">
        <v>34</v>
      </c>
      <c r="D78" s="34" t="s">
        <v>35</v>
      </c>
      <c r="E78">
        <v>94301</v>
      </c>
      <c r="F78" s="36">
        <v>42540</v>
      </c>
      <c r="G78">
        <v>1</v>
      </c>
      <c r="H78" s="34" t="s">
        <v>28</v>
      </c>
      <c r="I78" s="34" t="s">
        <v>118</v>
      </c>
      <c r="J78">
        <v>69166</v>
      </c>
    </row>
    <row r="79" spans="1:10" x14ac:dyDescent="0.35">
      <c r="A79" s="34" t="s">
        <v>170</v>
      </c>
      <c r="B79" s="34" t="s">
        <v>31</v>
      </c>
      <c r="C79" s="34" t="s">
        <v>34</v>
      </c>
      <c r="D79" s="34" t="s">
        <v>47</v>
      </c>
      <c r="E79">
        <v>69166</v>
      </c>
      <c r="F79" s="36">
        <v>42547</v>
      </c>
      <c r="G79">
        <v>1</v>
      </c>
      <c r="H79" s="34" t="s">
        <v>36</v>
      </c>
      <c r="I79" s="34" t="s">
        <v>171</v>
      </c>
      <c r="J79">
        <v>78245</v>
      </c>
    </row>
    <row r="80" spans="1:10" x14ac:dyDescent="0.35">
      <c r="A80" s="34" t="s">
        <v>172</v>
      </c>
      <c r="B80" s="34" t="s">
        <v>39</v>
      </c>
      <c r="C80" s="34" t="s">
        <v>34</v>
      </c>
      <c r="D80" s="34" t="s">
        <v>47</v>
      </c>
      <c r="E80">
        <v>78245</v>
      </c>
      <c r="F80" s="36">
        <v>42554</v>
      </c>
      <c r="G80">
        <v>2</v>
      </c>
      <c r="H80" s="34" t="s">
        <v>295</v>
      </c>
      <c r="I80" s="34" t="s">
        <v>173</v>
      </c>
      <c r="J80">
        <v>66079</v>
      </c>
    </row>
    <row r="81" spans="1:10" x14ac:dyDescent="0.35">
      <c r="A81" s="34" t="s">
        <v>174</v>
      </c>
      <c r="B81" s="34" t="s">
        <v>41</v>
      </c>
      <c r="C81" s="34" t="s">
        <v>26</v>
      </c>
      <c r="D81" s="34" t="s">
        <v>27</v>
      </c>
      <c r="E81">
        <v>66079</v>
      </c>
      <c r="F81" s="36">
        <v>42561</v>
      </c>
      <c r="G81">
        <v>2</v>
      </c>
      <c r="H81" s="34" t="s">
        <v>19</v>
      </c>
      <c r="I81" s="34" t="s">
        <v>175</v>
      </c>
      <c r="J81">
        <v>66280.929577464791</v>
      </c>
    </row>
    <row r="82" spans="1:10" x14ac:dyDescent="0.35">
      <c r="A82" s="34" t="s">
        <v>176</v>
      </c>
      <c r="B82" s="34" t="s">
        <v>16</v>
      </c>
      <c r="C82" s="34" t="s">
        <v>42</v>
      </c>
      <c r="D82" s="34" t="s">
        <v>35</v>
      </c>
      <c r="E82">
        <v>66280.929577464791</v>
      </c>
      <c r="F82" s="36">
        <v>42568</v>
      </c>
      <c r="G82">
        <v>2</v>
      </c>
      <c r="H82" s="34" t="s">
        <v>295</v>
      </c>
      <c r="I82" s="34" t="s">
        <v>87</v>
      </c>
      <c r="J82">
        <v>95621</v>
      </c>
    </row>
    <row r="83" spans="1:10" x14ac:dyDescent="0.35">
      <c r="A83" s="34" t="s">
        <v>177</v>
      </c>
      <c r="B83" s="34" t="s">
        <v>31</v>
      </c>
      <c r="C83" s="34" t="s">
        <v>26</v>
      </c>
      <c r="D83" s="34" t="s">
        <v>27</v>
      </c>
      <c r="E83">
        <v>95621</v>
      </c>
      <c r="F83" s="36">
        <v>42575</v>
      </c>
      <c r="G83">
        <v>3</v>
      </c>
      <c r="H83" s="34" t="s">
        <v>36</v>
      </c>
      <c r="I83" s="34" t="s">
        <v>178</v>
      </c>
      <c r="J83">
        <v>42262</v>
      </c>
    </row>
    <row r="84" spans="1:10" x14ac:dyDescent="0.35">
      <c r="A84" s="34" t="s">
        <v>179</v>
      </c>
      <c r="B84" s="34" t="s">
        <v>16</v>
      </c>
      <c r="C84" s="34" t="s">
        <v>34</v>
      </c>
      <c r="D84" s="34" t="s">
        <v>47</v>
      </c>
      <c r="E84">
        <v>42262</v>
      </c>
      <c r="F84" s="36">
        <v>42582</v>
      </c>
      <c r="G84">
        <v>1</v>
      </c>
      <c r="H84" s="34" t="s">
        <v>295</v>
      </c>
      <c r="I84" s="34" t="s">
        <v>180</v>
      </c>
      <c r="J84">
        <v>99621</v>
      </c>
    </row>
    <row r="85" spans="1:10" x14ac:dyDescent="0.35">
      <c r="A85" s="34" t="s">
        <v>181</v>
      </c>
      <c r="B85" s="34" t="s">
        <v>39</v>
      </c>
      <c r="C85" s="34" t="s">
        <v>26</v>
      </c>
      <c r="D85" s="34" t="s">
        <v>35</v>
      </c>
      <c r="E85">
        <v>99621</v>
      </c>
      <c r="F85" s="36">
        <v>42589</v>
      </c>
      <c r="G85">
        <v>1</v>
      </c>
      <c r="H85" s="34" t="s">
        <v>19</v>
      </c>
      <c r="I85" s="34" t="s">
        <v>182</v>
      </c>
      <c r="J85">
        <v>44682</v>
      </c>
    </row>
    <row r="86" spans="1:10" x14ac:dyDescent="0.35">
      <c r="A86" s="34" t="s">
        <v>183</v>
      </c>
      <c r="B86" s="34" t="s">
        <v>25</v>
      </c>
      <c r="C86" s="34" t="s">
        <v>42</v>
      </c>
      <c r="D86" s="34" t="s">
        <v>35</v>
      </c>
      <c r="E86">
        <v>44682</v>
      </c>
      <c r="F86" s="36">
        <v>42596</v>
      </c>
      <c r="G86">
        <v>4</v>
      </c>
      <c r="H86" s="34" t="s">
        <v>36</v>
      </c>
      <c r="I86" s="34" t="s">
        <v>112</v>
      </c>
      <c r="J86">
        <v>35163</v>
      </c>
    </row>
    <row r="87" spans="1:10" x14ac:dyDescent="0.35">
      <c r="A87" s="34" t="s">
        <v>184</v>
      </c>
      <c r="B87" s="34" t="s">
        <v>41</v>
      </c>
      <c r="C87" s="34" t="s">
        <v>12</v>
      </c>
      <c r="D87" s="34" t="s">
        <v>35</v>
      </c>
      <c r="E87">
        <v>35163</v>
      </c>
      <c r="F87" s="36">
        <v>42603</v>
      </c>
      <c r="G87">
        <v>5</v>
      </c>
      <c r="H87" s="34" t="s">
        <v>19</v>
      </c>
      <c r="I87" s="34" t="s">
        <v>185</v>
      </c>
      <c r="J87">
        <v>33483</v>
      </c>
    </row>
    <row r="88" spans="1:10" x14ac:dyDescent="0.35">
      <c r="A88" s="34" t="s">
        <v>186</v>
      </c>
      <c r="B88" s="34" t="s">
        <v>41</v>
      </c>
      <c r="C88" s="34" t="s">
        <v>34</v>
      </c>
      <c r="D88" s="34" t="s">
        <v>35</v>
      </c>
      <c r="E88">
        <v>33483</v>
      </c>
      <c r="F88" s="36">
        <v>42610</v>
      </c>
      <c r="G88">
        <v>4</v>
      </c>
      <c r="H88" s="34" t="s">
        <v>28</v>
      </c>
      <c r="I88" s="34" t="s">
        <v>187</v>
      </c>
      <c r="J88">
        <v>55303</v>
      </c>
    </row>
    <row r="89" spans="1:10" x14ac:dyDescent="0.35">
      <c r="A89" s="34" t="s">
        <v>188</v>
      </c>
      <c r="B89" s="34" t="s">
        <v>39</v>
      </c>
      <c r="C89" s="34" t="s">
        <v>17</v>
      </c>
      <c r="D89" s="34" t="s">
        <v>18</v>
      </c>
      <c r="E89">
        <v>55303</v>
      </c>
      <c r="F89" s="36">
        <v>42617</v>
      </c>
      <c r="G89">
        <v>4</v>
      </c>
      <c r="H89" s="34" t="s">
        <v>28</v>
      </c>
      <c r="I89" s="34" t="s">
        <v>77</v>
      </c>
      <c r="J89">
        <v>63434</v>
      </c>
    </row>
    <row r="90" spans="1:10" x14ac:dyDescent="0.35">
      <c r="A90" s="34" t="s">
        <v>189</v>
      </c>
      <c r="B90" s="34" t="s">
        <v>41</v>
      </c>
      <c r="C90" s="34" t="s">
        <v>34</v>
      </c>
      <c r="D90" s="34" t="s">
        <v>18</v>
      </c>
      <c r="E90">
        <v>63434</v>
      </c>
      <c r="F90" s="36">
        <v>42624</v>
      </c>
      <c r="G90">
        <v>3</v>
      </c>
      <c r="H90" s="34" t="s">
        <v>295</v>
      </c>
      <c r="I90" s="34" t="s">
        <v>190</v>
      </c>
      <c r="J90">
        <v>38830</v>
      </c>
    </row>
    <row r="91" spans="1:10" x14ac:dyDescent="0.35">
      <c r="A91" s="34" t="s">
        <v>191</v>
      </c>
      <c r="B91" s="34" t="s">
        <v>31</v>
      </c>
      <c r="C91" s="34" t="s">
        <v>34</v>
      </c>
      <c r="D91" s="34" t="s">
        <v>64</v>
      </c>
      <c r="E91">
        <v>38830</v>
      </c>
      <c r="F91" s="36">
        <v>42631</v>
      </c>
      <c r="G91">
        <v>3</v>
      </c>
      <c r="H91" s="34" t="s">
        <v>19</v>
      </c>
      <c r="I91" s="34" t="s">
        <v>77</v>
      </c>
      <c r="J91">
        <v>50741</v>
      </c>
    </row>
    <row r="92" spans="1:10" x14ac:dyDescent="0.35">
      <c r="A92" s="34" t="s">
        <v>192</v>
      </c>
      <c r="B92" s="34" t="s">
        <v>11</v>
      </c>
      <c r="C92" s="34" t="s">
        <v>42</v>
      </c>
      <c r="D92" s="34" t="s">
        <v>47</v>
      </c>
      <c r="E92">
        <v>50741</v>
      </c>
      <c r="F92" s="36">
        <v>42638</v>
      </c>
      <c r="G92">
        <v>3</v>
      </c>
      <c r="H92" s="34" t="s">
        <v>11</v>
      </c>
      <c r="I92" s="34" t="s">
        <v>160</v>
      </c>
      <c r="J92">
        <v>69420</v>
      </c>
    </row>
    <row r="93" spans="1:10" x14ac:dyDescent="0.35">
      <c r="A93" s="34" t="s">
        <v>193</v>
      </c>
      <c r="B93" s="34" t="s">
        <v>22</v>
      </c>
      <c r="C93" s="34" t="s">
        <v>17</v>
      </c>
      <c r="D93" s="34" t="s">
        <v>64</v>
      </c>
      <c r="E93">
        <v>69420</v>
      </c>
      <c r="F93" s="36">
        <v>42645</v>
      </c>
      <c r="G93">
        <v>1</v>
      </c>
      <c r="H93" s="34" t="s">
        <v>28</v>
      </c>
      <c r="I93" s="34" t="s">
        <v>123</v>
      </c>
      <c r="J93">
        <v>80588</v>
      </c>
    </row>
    <row r="94" spans="1:10" x14ac:dyDescent="0.35">
      <c r="A94" s="34" t="s">
        <v>194</v>
      </c>
      <c r="B94" s="34" t="s">
        <v>31</v>
      </c>
      <c r="C94" s="34" t="s">
        <v>34</v>
      </c>
      <c r="D94" s="34" t="s">
        <v>64</v>
      </c>
      <c r="E94">
        <v>80588</v>
      </c>
      <c r="F94" s="36">
        <v>42652</v>
      </c>
      <c r="G94">
        <v>5</v>
      </c>
      <c r="H94" s="34" t="s">
        <v>28</v>
      </c>
      <c r="I94" s="34" t="s">
        <v>104</v>
      </c>
      <c r="J94">
        <v>76238</v>
      </c>
    </row>
    <row r="95" spans="1:10" x14ac:dyDescent="0.35">
      <c r="A95" s="34" t="s">
        <v>195</v>
      </c>
      <c r="B95" s="34" t="s">
        <v>22</v>
      </c>
      <c r="C95" s="34" t="s">
        <v>34</v>
      </c>
      <c r="D95" s="34" t="s">
        <v>27</v>
      </c>
      <c r="E95">
        <v>76238</v>
      </c>
      <c r="F95" s="36">
        <v>42659</v>
      </c>
      <c r="G95">
        <v>4</v>
      </c>
      <c r="H95" s="34" t="s">
        <v>28</v>
      </c>
      <c r="I95" s="34" t="s">
        <v>196</v>
      </c>
      <c r="J95">
        <v>33264</v>
      </c>
    </row>
    <row r="96" spans="1:10" x14ac:dyDescent="0.35">
      <c r="A96" s="34" t="s">
        <v>197</v>
      </c>
      <c r="B96" s="34" t="s">
        <v>54</v>
      </c>
      <c r="C96" s="34" t="s">
        <v>34</v>
      </c>
      <c r="D96" s="34" t="s">
        <v>35</v>
      </c>
      <c r="E96">
        <v>33264</v>
      </c>
      <c r="F96" s="36">
        <v>42666</v>
      </c>
      <c r="G96">
        <v>3</v>
      </c>
      <c r="H96" s="34" t="s">
        <v>36</v>
      </c>
      <c r="I96" s="34" t="s">
        <v>198</v>
      </c>
      <c r="J96">
        <v>96101</v>
      </c>
    </row>
    <row r="97" spans="1:10" x14ac:dyDescent="0.35">
      <c r="A97" s="34" t="s">
        <v>199</v>
      </c>
      <c r="B97" s="34" t="s">
        <v>22</v>
      </c>
      <c r="C97" s="34" t="s">
        <v>12</v>
      </c>
      <c r="D97" s="34" t="s">
        <v>64</v>
      </c>
      <c r="E97">
        <v>96101</v>
      </c>
      <c r="F97" s="36">
        <v>42673</v>
      </c>
      <c r="G97">
        <v>3</v>
      </c>
      <c r="H97" s="34" t="s">
        <v>19</v>
      </c>
      <c r="I97" s="34" t="s">
        <v>200</v>
      </c>
      <c r="J97">
        <v>72939</v>
      </c>
    </row>
    <row r="98" spans="1:10" x14ac:dyDescent="0.35">
      <c r="A98" s="34" t="s">
        <v>201</v>
      </c>
      <c r="B98" s="34" t="s">
        <v>31</v>
      </c>
      <c r="C98" s="34" t="s">
        <v>12</v>
      </c>
      <c r="D98" s="34" t="s">
        <v>27</v>
      </c>
      <c r="E98">
        <v>72939</v>
      </c>
      <c r="F98" s="36">
        <v>42680</v>
      </c>
      <c r="G98">
        <v>3</v>
      </c>
      <c r="H98" s="34" t="s">
        <v>295</v>
      </c>
      <c r="I98" s="34" t="s">
        <v>202</v>
      </c>
      <c r="J98">
        <v>89333</v>
      </c>
    </row>
    <row r="99" spans="1:10" x14ac:dyDescent="0.35">
      <c r="A99" s="34" t="s">
        <v>203</v>
      </c>
      <c r="B99" s="34" t="s">
        <v>39</v>
      </c>
      <c r="C99" s="34" t="s">
        <v>17</v>
      </c>
      <c r="D99" s="34" t="s">
        <v>18</v>
      </c>
      <c r="E99">
        <v>89333</v>
      </c>
      <c r="F99" s="36">
        <v>42687</v>
      </c>
      <c r="G99">
        <v>1</v>
      </c>
      <c r="H99" s="34" t="s">
        <v>28</v>
      </c>
      <c r="I99" s="34" t="s">
        <v>204</v>
      </c>
      <c r="J99">
        <v>70470</v>
      </c>
    </row>
    <row r="100" spans="1:10" x14ac:dyDescent="0.35">
      <c r="A100" s="34" t="s">
        <v>205</v>
      </c>
      <c r="B100" s="34" t="s">
        <v>54</v>
      </c>
      <c r="C100" s="34" t="s">
        <v>34</v>
      </c>
      <c r="D100" s="34" t="s">
        <v>64</v>
      </c>
      <c r="E100">
        <v>70470</v>
      </c>
      <c r="F100" s="36">
        <v>42694</v>
      </c>
      <c r="G100">
        <v>5</v>
      </c>
      <c r="H100" s="34" t="s">
        <v>28</v>
      </c>
      <c r="I100" s="34" t="s">
        <v>206</v>
      </c>
      <c r="J100">
        <v>70096</v>
      </c>
    </row>
    <row r="101" spans="1:10" x14ac:dyDescent="0.35">
      <c r="A101" s="34" t="s">
        <v>207</v>
      </c>
      <c r="B101" s="34" t="s">
        <v>16</v>
      </c>
      <c r="C101" s="34" t="s">
        <v>42</v>
      </c>
      <c r="D101" s="34" t="s">
        <v>27</v>
      </c>
      <c r="E101">
        <v>70096</v>
      </c>
      <c r="F101" s="36">
        <v>42701</v>
      </c>
      <c r="G101">
        <v>4</v>
      </c>
      <c r="H101" s="34" t="s">
        <v>28</v>
      </c>
      <c r="I101" s="34" t="s">
        <v>208</v>
      </c>
      <c r="J101">
        <v>66280.929577464791</v>
      </c>
    </row>
    <row r="102" spans="1:10" x14ac:dyDescent="0.35">
      <c r="A102" s="34" t="s">
        <v>209</v>
      </c>
      <c r="B102" s="34" t="s">
        <v>54</v>
      </c>
      <c r="C102" s="34" t="s">
        <v>42</v>
      </c>
      <c r="D102" s="34" t="s">
        <v>11</v>
      </c>
      <c r="E102">
        <v>66280.929577464791</v>
      </c>
      <c r="F102" s="36">
        <v>42708</v>
      </c>
      <c r="G102">
        <v>2</v>
      </c>
      <c r="H102" s="34" t="s">
        <v>19</v>
      </c>
      <c r="I102" s="34" t="s">
        <v>210</v>
      </c>
      <c r="J102">
        <v>66503</v>
      </c>
    </row>
    <row r="103" spans="1:10" x14ac:dyDescent="0.35">
      <c r="A103" s="34" t="s">
        <v>211</v>
      </c>
      <c r="B103" s="34" t="s">
        <v>54</v>
      </c>
      <c r="C103" s="34" t="s">
        <v>34</v>
      </c>
      <c r="D103" s="34" t="s">
        <v>18</v>
      </c>
      <c r="E103">
        <v>66503</v>
      </c>
      <c r="F103" s="36">
        <v>42715</v>
      </c>
      <c r="G103">
        <v>3</v>
      </c>
      <c r="H103" s="34" t="s">
        <v>28</v>
      </c>
      <c r="I103" s="34" t="s">
        <v>71</v>
      </c>
      <c r="J103">
        <v>42096</v>
      </c>
    </row>
    <row r="104" spans="1:10" x14ac:dyDescent="0.35">
      <c r="A104" s="34" t="s">
        <v>212</v>
      </c>
      <c r="B104" s="34" t="s">
        <v>22</v>
      </c>
      <c r="C104" s="34" t="s">
        <v>17</v>
      </c>
      <c r="D104" s="34" t="s">
        <v>18</v>
      </c>
      <c r="E104">
        <v>42096</v>
      </c>
      <c r="F104" s="36">
        <v>42722</v>
      </c>
      <c r="G104">
        <v>3</v>
      </c>
      <c r="H104" s="34" t="s">
        <v>36</v>
      </c>
      <c r="I104" s="34" t="s">
        <v>213</v>
      </c>
      <c r="J104">
        <v>79145</v>
      </c>
    </row>
    <row r="105" spans="1:10" x14ac:dyDescent="0.35">
      <c r="A105" s="34" t="s">
        <v>214</v>
      </c>
      <c r="B105" s="34" t="s">
        <v>22</v>
      </c>
      <c r="C105" s="34" t="s">
        <v>42</v>
      </c>
      <c r="D105" s="34" t="s">
        <v>18</v>
      </c>
      <c r="E105">
        <v>79145</v>
      </c>
      <c r="F105" s="36">
        <v>42729</v>
      </c>
      <c r="G105">
        <v>5</v>
      </c>
      <c r="H105" s="34" t="s">
        <v>19</v>
      </c>
      <c r="I105" s="34" t="s">
        <v>118</v>
      </c>
      <c r="J105">
        <v>61556</v>
      </c>
    </row>
    <row r="106" spans="1:10" x14ac:dyDescent="0.35">
      <c r="A106" s="34" t="s">
        <v>215</v>
      </c>
      <c r="B106" s="34" t="s">
        <v>31</v>
      </c>
      <c r="C106" s="34" t="s">
        <v>42</v>
      </c>
      <c r="D106" s="34" t="s">
        <v>64</v>
      </c>
      <c r="E106">
        <v>61556</v>
      </c>
      <c r="F106" s="36">
        <v>42736</v>
      </c>
      <c r="G106">
        <v>1</v>
      </c>
      <c r="H106" s="34" t="s">
        <v>295</v>
      </c>
      <c r="I106" s="34" t="s">
        <v>210</v>
      </c>
      <c r="J106">
        <v>87963</v>
      </c>
    </row>
    <row r="107" spans="1:10" x14ac:dyDescent="0.35">
      <c r="A107" s="34" t="s">
        <v>216</v>
      </c>
      <c r="B107" s="34" t="s">
        <v>11</v>
      </c>
      <c r="C107" s="34" t="s">
        <v>17</v>
      </c>
      <c r="D107" s="34" t="s">
        <v>47</v>
      </c>
      <c r="E107">
        <v>87963</v>
      </c>
      <c r="F107" s="36">
        <v>42743</v>
      </c>
      <c r="G107">
        <v>3</v>
      </c>
      <c r="H107" s="34" t="s">
        <v>19</v>
      </c>
      <c r="I107" s="34" t="s">
        <v>14</v>
      </c>
      <c r="J107">
        <v>48325</v>
      </c>
    </row>
    <row r="108" spans="1:10" x14ac:dyDescent="0.35">
      <c r="A108" s="34" t="s">
        <v>217</v>
      </c>
      <c r="B108" s="34" t="s">
        <v>16</v>
      </c>
      <c r="C108" s="34" t="s">
        <v>34</v>
      </c>
      <c r="D108" s="34" t="s">
        <v>47</v>
      </c>
      <c r="E108">
        <v>48325</v>
      </c>
      <c r="F108" s="36">
        <v>42750</v>
      </c>
      <c r="G108">
        <v>2</v>
      </c>
      <c r="H108" s="34" t="s">
        <v>28</v>
      </c>
      <c r="I108" s="34" t="s">
        <v>218</v>
      </c>
      <c r="J108">
        <v>86412</v>
      </c>
    </row>
    <row r="109" spans="1:10" x14ac:dyDescent="0.35">
      <c r="A109" s="34" t="s">
        <v>219</v>
      </c>
      <c r="B109" s="34" t="s">
        <v>39</v>
      </c>
      <c r="C109" s="34" t="s">
        <v>42</v>
      </c>
      <c r="D109" s="34" t="s">
        <v>64</v>
      </c>
      <c r="E109">
        <v>86412</v>
      </c>
      <c r="F109" s="36">
        <v>42757</v>
      </c>
      <c r="G109">
        <v>2</v>
      </c>
      <c r="H109" s="34" t="s">
        <v>36</v>
      </c>
      <c r="I109" s="34" t="s">
        <v>75</v>
      </c>
      <c r="J109">
        <v>66761</v>
      </c>
    </row>
    <row r="110" spans="1:10" x14ac:dyDescent="0.35">
      <c r="A110" s="34" t="s">
        <v>220</v>
      </c>
      <c r="B110" s="34" t="s">
        <v>39</v>
      </c>
      <c r="C110" s="34" t="s">
        <v>17</v>
      </c>
      <c r="D110" s="34" t="s">
        <v>64</v>
      </c>
      <c r="E110">
        <v>66761</v>
      </c>
      <c r="F110" s="36">
        <v>42764</v>
      </c>
      <c r="G110">
        <v>1</v>
      </c>
      <c r="H110" s="34" t="s">
        <v>295</v>
      </c>
      <c r="I110" s="34" t="s">
        <v>221</v>
      </c>
      <c r="J110">
        <v>88850</v>
      </c>
    </row>
    <row r="111" spans="1:10" x14ac:dyDescent="0.35">
      <c r="A111" s="34" t="s">
        <v>222</v>
      </c>
      <c r="B111" s="34" t="s">
        <v>31</v>
      </c>
      <c r="C111" s="34" t="s">
        <v>17</v>
      </c>
      <c r="D111" s="34" t="s">
        <v>35</v>
      </c>
      <c r="E111">
        <v>88850</v>
      </c>
      <c r="F111" s="36">
        <v>42771</v>
      </c>
      <c r="G111">
        <v>1</v>
      </c>
      <c r="H111" s="34" t="s">
        <v>36</v>
      </c>
      <c r="I111" s="34" t="s">
        <v>223</v>
      </c>
      <c r="J111">
        <v>31293</v>
      </c>
    </row>
    <row r="112" spans="1:10" x14ac:dyDescent="0.35">
      <c r="A112" s="34" t="s">
        <v>224</v>
      </c>
      <c r="B112" s="34" t="s">
        <v>41</v>
      </c>
      <c r="C112" s="34" t="s">
        <v>26</v>
      </c>
      <c r="D112" s="34" t="s">
        <v>35</v>
      </c>
      <c r="E112">
        <v>31293</v>
      </c>
      <c r="F112" s="36">
        <v>42778</v>
      </c>
      <c r="G112">
        <v>2</v>
      </c>
      <c r="H112" s="34" t="s">
        <v>36</v>
      </c>
      <c r="I112" s="34" t="s">
        <v>225</v>
      </c>
      <c r="J112">
        <v>34306</v>
      </c>
    </row>
    <row r="113" spans="1:10" x14ac:dyDescent="0.35">
      <c r="A113" s="34" t="s">
        <v>226</v>
      </c>
      <c r="B113" s="34" t="s">
        <v>41</v>
      </c>
      <c r="C113" s="34" t="s">
        <v>34</v>
      </c>
      <c r="D113" s="34" t="s">
        <v>27</v>
      </c>
      <c r="E113">
        <v>34306</v>
      </c>
      <c r="F113" s="36">
        <v>42785</v>
      </c>
      <c r="G113">
        <v>5</v>
      </c>
      <c r="H113" s="34" t="s">
        <v>36</v>
      </c>
      <c r="I113" s="34" t="s">
        <v>157</v>
      </c>
      <c r="J113">
        <v>78330</v>
      </c>
    </row>
    <row r="114" spans="1:10" x14ac:dyDescent="0.35">
      <c r="A114" s="34" t="s">
        <v>227</v>
      </c>
      <c r="B114" s="34" t="s">
        <v>16</v>
      </c>
      <c r="C114" s="34" t="s">
        <v>12</v>
      </c>
      <c r="D114" s="34" t="s">
        <v>35</v>
      </c>
      <c r="E114">
        <v>78330</v>
      </c>
      <c r="F114" s="36">
        <v>42792</v>
      </c>
      <c r="G114">
        <v>2</v>
      </c>
      <c r="H114" s="34" t="s">
        <v>19</v>
      </c>
      <c r="I114" s="34" t="s">
        <v>208</v>
      </c>
      <c r="J114">
        <v>47653</v>
      </c>
    </row>
    <row r="115" spans="1:10" x14ac:dyDescent="0.35">
      <c r="A115" s="34" t="s">
        <v>228</v>
      </c>
      <c r="B115" s="34" t="s">
        <v>22</v>
      </c>
      <c r="C115" s="34" t="s">
        <v>34</v>
      </c>
      <c r="D115" s="34" t="s">
        <v>27</v>
      </c>
      <c r="E115">
        <v>47653</v>
      </c>
      <c r="F115" s="36">
        <v>42799</v>
      </c>
      <c r="G115">
        <v>1</v>
      </c>
      <c r="H115" s="34" t="s">
        <v>28</v>
      </c>
      <c r="I115" s="34" t="s">
        <v>229</v>
      </c>
      <c r="J115">
        <v>44627</v>
      </c>
    </row>
    <row r="116" spans="1:10" x14ac:dyDescent="0.35">
      <c r="A116" s="34" t="s">
        <v>230</v>
      </c>
      <c r="B116" s="34" t="s">
        <v>16</v>
      </c>
      <c r="C116" s="34" t="s">
        <v>42</v>
      </c>
      <c r="D116" s="34" t="s">
        <v>47</v>
      </c>
      <c r="E116">
        <v>44627</v>
      </c>
      <c r="F116" s="36">
        <v>42806</v>
      </c>
      <c r="G116">
        <v>4</v>
      </c>
      <c r="H116" s="34" t="s">
        <v>295</v>
      </c>
      <c r="I116" s="34" t="s">
        <v>149</v>
      </c>
      <c r="J116">
        <v>92343</v>
      </c>
    </row>
    <row r="117" spans="1:10" x14ac:dyDescent="0.35">
      <c r="A117" s="34" t="s">
        <v>231</v>
      </c>
      <c r="B117" s="34" t="s">
        <v>54</v>
      </c>
      <c r="C117" s="34" t="s">
        <v>17</v>
      </c>
      <c r="D117" s="34" t="s">
        <v>18</v>
      </c>
      <c r="E117">
        <v>92343</v>
      </c>
      <c r="F117" s="36">
        <v>42813</v>
      </c>
      <c r="G117">
        <v>4</v>
      </c>
      <c r="H117" s="34" t="s">
        <v>36</v>
      </c>
      <c r="I117" s="34" t="s">
        <v>77</v>
      </c>
      <c r="J117">
        <v>38837</v>
      </c>
    </row>
    <row r="118" spans="1:10" x14ac:dyDescent="0.35">
      <c r="A118" s="34" t="s">
        <v>232</v>
      </c>
      <c r="B118" s="34" t="s">
        <v>54</v>
      </c>
      <c r="C118" s="34" t="s">
        <v>42</v>
      </c>
      <c r="D118" s="34" t="s">
        <v>64</v>
      </c>
      <c r="E118">
        <v>38837</v>
      </c>
      <c r="F118" s="36">
        <v>42820</v>
      </c>
      <c r="G118">
        <v>5</v>
      </c>
      <c r="H118" s="34" t="s">
        <v>36</v>
      </c>
      <c r="I118" s="34" t="s">
        <v>157</v>
      </c>
      <c r="J118">
        <v>73483</v>
      </c>
    </row>
    <row r="119" spans="1:10" x14ac:dyDescent="0.35">
      <c r="A119" s="34" t="s">
        <v>233</v>
      </c>
      <c r="B119" s="34" t="s">
        <v>54</v>
      </c>
      <c r="C119" s="34" t="s">
        <v>42</v>
      </c>
      <c r="D119" s="34" t="s">
        <v>64</v>
      </c>
      <c r="E119">
        <v>73483</v>
      </c>
      <c r="F119" s="36">
        <v>42827</v>
      </c>
      <c r="G119">
        <v>1</v>
      </c>
      <c r="H119" s="34" t="s">
        <v>295</v>
      </c>
      <c r="I119" s="34" t="s">
        <v>234</v>
      </c>
      <c r="J119">
        <v>95032</v>
      </c>
    </row>
    <row r="120" spans="1:10" x14ac:dyDescent="0.35">
      <c r="A120" s="34" t="s">
        <v>235</v>
      </c>
      <c r="B120" s="34" t="s">
        <v>41</v>
      </c>
      <c r="C120" s="34" t="s">
        <v>26</v>
      </c>
      <c r="D120" s="34" t="s">
        <v>35</v>
      </c>
      <c r="E120">
        <v>95032</v>
      </c>
      <c r="F120" s="36">
        <v>42834</v>
      </c>
      <c r="G120">
        <v>3</v>
      </c>
      <c r="H120" s="34" t="s">
        <v>295</v>
      </c>
      <c r="I120" s="34" t="s">
        <v>236</v>
      </c>
      <c r="J120">
        <v>44358</v>
      </c>
    </row>
    <row r="121" spans="1:10" x14ac:dyDescent="0.35">
      <c r="A121" s="34" t="s">
        <v>237</v>
      </c>
      <c r="B121" s="34" t="s">
        <v>16</v>
      </c>
      <c r="C121" s="34" t="s">
        <v>26</v>
      </c>
      <c r="D121" s="34" t="s">
        <v>64</v>
      </c>
      <c r="E121">
        <v>44358</v>
      </c>
      <c r="F121" s="36">
        <v>42841</v>
      </c>
      <c r="G121">
        <v>1</v>
      </c>
      <c r="H121" s="34" t="s">
        <v>36</v>
      </c>
      <c r="I121" s="34" t="s">
        <v>71</v>
      </c>
      <c r="J121">
        <v>66281</v>
      </c>
    </row>
    <row r="122" spans="1:10" x14ac:dyDescent="0.35">
      <c r="A122" s="34" t="s">
        <v>238</v>
      </c>
      <c r="B122" s="34" t="s">
        <v>11</v>
      </c>
      <c r="C122" s="34" t="s">
        <v>34</v>
      </c>
      <c r="D122" s="34" t="s">
        <v>27</v>
      </c>
      <c r="E122">
        <v>66281</v>
      </c>
      <c r="F122" s="36">
        <v>42848</v>
      </c>
      <c r="G122">
        <v>5</v>
      </c>
      <c r="H122" s="34" t="s">
        <v>11</v>
      </c>
      <c r="I122" s="34" t="s">
        <v>239</v>
      </c>
      <c r="J122">
        <v>45676</v>
      </c>
    </row>
    <row r="123" spans="1:10" x14ac:dyDescent="0.35">
      <c r="A123" s="34" t="s">
        <v>240</v>
      </c>
      <c r="B123" s="34" t="s">
        <v>41</v>
      </c>
      <c r="C123" s="34" t="s">
        <v>26</v>
      </c>
      <c r="D123" s="34" t="s">
        <v>27</v>
      </c>
      <c r="E123">
        <v>45676</v>
      </c>
      <c r="F123" s="36">
        <v>42855</v>
      </c>
      <c r="G123">
        <v>2</v>
      </c>
      <c r="H123" s="34" t="s">
        <v>295</v>
      </c>
      <c r="I123" s="34" t="s">
        <v>241</v>
      </c>
      <c r="J123">
        <v>52036</v>
      </c>
    </row>
    <row r="124" spans="1:10" x14ac:dyDescent="0.35">
      <c r="A124" s="34" t="s">
        <v>242</v>
      </c>
      <c r="B124" s="34" t="s">
        <v>54</v>
      </c>
      <c r="C124" s="34" t="s">
        <v>26</v>
      </c>
      <c r="D124" s="34" t="s">
        <v>18</v>
      </c>
      <c r="E124">
        <v>52036</v>
      </c>
      <c r="F124" s="36">
        <v>42862</v>
      </c>
      <c r="G124">
        <v>3</v>
      </c>
      <c r="H124" s="34" t="s">
        <v>28</v>
      </c>
      <c r="I124" s="34" t="s">
        <v>243</v>
      </c>
      <c r="J124">
        <v>30357</v>
      </c>
    </row>
    <row r="125" spans="1:10" x14ac:dyDescent="0.35">
      <c r="A125" s="34" t="s">
        <v>244</v>
      </c>
      <c r="B125" s="34" t="s">
        <v>31</v>
      </c>
      <c r="C125" s="34" t="s">
        <v>26</v>
      </c>
      <c r="D125" s="34" t="s">
        <v>18</v>
      </c>
      <c r="E125">
        <v>30357</v>
      </c>
      <c r="F125" s="36">
        <v>42869</v>
      </c>
      <c r="G125">
        <v>5</v>
      </c>
      <c r="H125" s="34" t="s">
        <v>28</v>
      </c>
      <c r="I125" s="34" t="s">
        <v>182</v>
      </c>
      <c r="J125">
        <v>60034</v>
      </c>
    </row>
    <row r="126" spans="1:10" x14ac:dyDescent="0.35">
      <c r="A126" s="34" t="s">
        <v>245</v>
      </c>
      <c r="B126" s="34" t="s">
        <v>25</v>
      </c>
      <c r="C126" s="34" t="s">
        <v>34</v>
      </c>
      <c r="D126" s="34" t="s">
        <v>18</v>
      </c>
      <c r="E126">
        <v>60034</v>
      </c>
      <c r="F126" s="36">
        <v>42876</v>
      </c>
      <c r="G126">
        <v>1</v>
      </c>
      <c r="H126" s="34" t="s">
        <v>36</v>
      </c>
      <c r="I126" s="34" t="s">
        <v>246</v>
      </c>
      <c r="J126">
        <v>90019</v>
      </c>
    </row>
    <row r="127" spans="1:10" x14ac:dyDescent="0.35">
      <c r="A127" s="34" t="s">
        <v>247</v>
      </c>
      <c r="B127" s="34" t="s">
        <v>25</v>
      </c>
      <c r="C127" s="34" t="s">
        <v>12</v>
      </c>
      <c r="D127" s="34" t="s">
        <v>11</v>
      </c>
      <c r="E127">
        <v>90019</v>
      </c>
      <c r="F127" s="36">
        <v>42883</v>
      </c>
      <c r="G127">
        <v>5</v>
      </c>
      <c r="H127" s="34" t="s">
        <v>295</v>
      </c>
      <c r="I127" s="34" t="s">
        <v>248</v>
      </c>
      <c r="J127">
        <v>71494</v>
      </c>
    </row>
    <row r="128" spans="1:10" x14ac:dyDescent="0.35">
      <c r="A128" s="34" t="s">
        <v>249</v>
      </c>
      <c r="B128" s="34" t="s">
        <v>54</v>
      </c>
      <c r="C128" s="34" t="s">
        <v>12</v>
      </c>
      <c r="D128" s="34" t="s">
        <v>18</v>
      </c>
      <c r="E128">
        <v>71494</v>
      </c>
      <c r="F128" s="36">
        <v>42890</v>
      </c>
      <c r="G128">
        <v>3</v>
      </c>
      <c r="H128" s="34" t="s">
        <v>28</v>
      </c>
      <c r="I128" s="34" t="s">
        <v>250</v>
      </c>
      <c r="J128">
        <v>91953</v>
      </c>
    </row>
    <row r="129" spans="1:10" x14ac:dyDescent="0.35">
      <c r="A129" s="34" t="s">
        <v>251</v>
      </c>
      <c r="B129" s="34" t="s">
        <v>25</v>
      </c>
      <c r="C129" s="34" t="s">
        <v>12</v>
      </c>
      <c r="D129" s="34" t="s">
        <v>27</v>
      </c>
      <c r="E129">
        <v>91953</v>
      </c>
      <c r="F129" s="36">
        <v>42897</v>
      </c>
      <c r="G129">
        <v>2</v>
      </c>
      <c r="H129" s="34" t="s">
        <v>28</v>
      </c>
      <c r="I129" s="34" t="s">
        <v>89</v>
      </c>
      <c r="J129">
        <v>30402</v>
      </c>
    </row>
    <row r="130" spans="1:10" x14ac:dyDescent="0.35">
      <c r="A130" s="34" t="s">
        <v>252</v>
      </c>
      <c r="B130" s="34" t="s">
        <v>41</v>
      </c>
      <c r="C130" s="34" t="s">
        <v>26</v>
      </c>
      <c r="D130" s="34" t="s">
        <v>27</v>
      </c>
      <c r="E130">
        <v>30402</v>
      </c>
      <c r="F130" s="36">
        <v>42904</v>
      </c>
      <c r="G130">
        <v>1</v>
      </c>
      <c r="H130" s="34" t="s">
        <v>295</v>
      </c>
      <c r="I130" s="34" t="s">
        <v>253</v>
      </c>
      <c r="J130">
        <v>62994</v>
      </c>
    </row>
    <row r="131" spans="1:10" x14ac:dyDescent="0.35">
      <c r="A131" s="34" t="s">
        <v>254</v>
      </c>
      <c r="B131" s="34" t="s">
        <v>54</v>
      </c>
      <c r="C131" s="34" t="s">
        <v>26</v>
      </c>
      <c r="D131" s="34" t="s">
        <v>47</v>
      </c>
      <c r="E131">
        <v>62994</v>
      </c>
      <c r="F131" s="36">
        <v>42911</v>
      </c>
      <c r="G131">
        <v>5</v>
      </c>
      <c r="H131" s="34" t="s">
        <v>295</v>
      </c>
      <c r="I131" s="34" t="s">
        <v>114</v>
      </c>
      <c r="J131">
        <v>48289</v>
      </c>
    </row>
    <row r="132" spans="1:10" x14ac:dyDescent="0.35">
      <c r="A132" s="34" t="s">
        <v>255</v>
      </c>
      <c r="B132" s="34" t="s">
        <v>22</v>
      </c>
      <c r="C132" s="34" t="s">
        <v>26</v>
      </c>
      <c r="D132" s="34" t="s">
        <v>35</v>
      </c>
      <c r="E132">
        <v>48289</v>
      </c>
      <c r="F132" s="36">
        <v>42918</v>
      </c>
      <c r="G132">
        <v>3</v>
      </c>
      <c r="H132" s="34" t="s">
        <v>28</v>
      </c>
      <c r="I132" s="34" t="s">
        <v>45</v>
      </c>
      <c r="J132">
        <v>34402</v>
      </c>
    </row>
    <row r="133" spans="1:10" x14ac:dyDescent="0.35">
      <c r="A133" s="34" t="s">
        <v>256</v>
      </c>
      <c r="B133" s="34" t="s">
        <v>39</v>
      </c>
      <c r="C133" s="34" t="s">
        <v>42</v>
      </c>
      <c r="D133" s="34" t="s">
        <v>18</v>
      </c>
      <c r="E133">
        <v>34402</v>
      </c>
      <c r="F133" s="36">
        <v>42925</v>
      </c>
      <c r="G133">
        <v>3</v>
      </c>
      <c r="H133" s="34" t="s">
        <v>19</v>
      </c>
      <c r="I133" s="34" t="s">
        <v>108</v>
      </c>
      <c r="J133">
        <v>38678</v>
      </c>
    </row>
    <row r="134" spans="1:10" x14ac:dyDescent="0.35">
      <c r="A134" s="34" t="s">
        <v>257</v>
      </c>
      <c r="B134" s="34" t="s">
        <v>16</v>
      </c>
      <c r="C134" s="34" t="s">
        <v>17</v>
      </c>
      <c r="D134" s="34" t="s">
        <v>27</v>
      </c>
      <c r="E134">
        <v>38678</v>
      </c>
      <c r="F134" s="36">
        <v>42932</v>
      </c>
      <c r="G134">
        <v>3</v>
      </c>
      <c r="H134" s="34" t="s">
        <v>19</v>
      </c>
      <c r="I134" s="34" t="s">
        <v>258</v>
      </c>
      <c r="J134">
        <v>45758</v>
      </c>
    </row>
    <row r="135" spans="1:10" x14ac:dyDescent="0.35">
      <c r="A135" s="34" t="s">
        <v>259</v>
      </c>
      <c r="B135" s="34" t="s">
        <v>41</v>
      </c>
      <c r="C135" s="34" t="s">
        <v>17</v>
      </c>
      <c r="D135" s="34" t="s">
        <v>18</v>
      </c>
      <c r="E135">
        <v>45758</v>
      </c>
      <c r="F135" s="36">
        <v>42939</v>
      </c>
      <c r="G135">
        <v>3</v>
      </c>
      <c r="H135" s="34" t="s">
        <v>295</v>
      </c>
      <c r="I135" s="34" t="s">
        <v>225</v>
      </c>
      <c r="J135">
        <v>62476</v>
      </c>
    </row>
    <row r="136" spans="1:10" x14ac:dyDescent="0.35">
      <c r="A136" s="34" t="s">
        <v>260</v>
      </c>
      <c r="B136" s="34" t="s">
        <v>16</v>
      </c>
      <c r="C136" s="34" t="s">
        <v>42</v>
      </c>
      <c r="D136" s="34" t="s">
        <v>35</v>
      </c>
      <c r="E136">
        <v>62476</v>
      </c>
      <c r="F136" s="36">
        <v>42946</v>
      </c>
      <c r="G136">
        <v>1</v>
      </c>
      <c r="H136" s="34" t="s">
        <v>19</v>
      </c>
      <c r="I136" s="34" t="s">
        <v>138</v>
      </c>
      <c r="J136">
        <v>39280</v>
      </c>
    </row>
    <row r="137" spans="1:10" x14ac:dyDescent="0.35">
      <c r="A137" s="34" t="s">
        <v>261</v>
      </c>
      <c r="B137" s="34" t="s">
        <v>11</v>
      </c>
      <c r="C137" s="34" t="s">
        <v>34</v>
      </c>
      <c r="D137" s="34" t="s">
        <v>47</v>
      </c>
      <c r="E137">
        <v>39280</v>
      </c>
      <c r="F137" s="36">
        <v>42953</v>
      </c>
      <c r="G137">
        <v>3</v>
      </c>
      <c r="H137" s="34" t="s">
        <v>36</v>
      </c>
      <c r="I137" s="34" t="s">
        <v>99</v>
      </c>
      <c r="J137">
        <v>60335</v>
      </c>
    </row>
    <row r="138" spans="1:10" x14ac:dyDescent="0.35">
      <c r="A138" s="34" t="s">
        <v>262</v>
      </c>
      <c r="B138" s="34" t="s">
        <v>31</v>
      </c>
      <c r="C138" s="34" t="s">
        <v>12</v>
      </c>
      <c r="D138" s="34" t="s">
        <v>35</v>
      </c>
      <c r="E138">
        <v>60335</v>
      </c>
      <c r="F138" s="36">
        <v>42960</v>
      </c>
      <c r="G138">
        <v>4</v>
      </c>
      <c r="H138" s="34" t="s">
        <v>19</v>
      </c>
      <c r="I138" s="34" t="s">
        <v>129</v>
      </c>
      <c r="J138">
        <v>84968</v>
      </c>
    </row>
    <row r="139" spans="1:10" x14ac:dyDescent="0.35">
      <c r="A139" s="34" t="s">
        <v>263</v>
      </c>
      <c r="B139" s="34" t="s">
        <v>41</v>
      </c>
      <c r="C139" s="34" t="s">
        <v>17</v>
      </c>
      <c r="D139" s="34" t="s">
        <v>18</v>
      </c>
      <c r="E139">
        <v>84968</v>
      </c>
      <c r="F139" s="36">
        <v>42967</v>
      </c>
      <c r="G139">
        <v>3</v>
      </c>
      <c r="H139" s="34" t="s">
        <v>295</v>
      </c>
      <c r="I139" s="34" t="s">
        <v>264</v>
      </c>
      <c r="J139">
        <v>84750</v>
      </c>
    </row>
    <row r="140" spans="1:10" x14ac:dyDescent="0.35">
      <c r="A140" s="34" t="s">
        <v>265</v>
      </c>
      <c r="B140" s="34" t="s">
        <v>41</v>
      </c>
      <c r="C140" s="34" t="s">
        <v>42</v>
      </c>
      <c r="D140" s="34" t="s">
        <v>64</v>
      </c>
      <c r="E140">
        <v>84750</v>
      </c>
      <c r="F140" s="36">
        <v>42974</v>
      </c>
      <c r="G140">
        <v>4</v>
      </c>
      <c r="H140" s="34" t="s">
        <v>36</v>
      </c>
      <c r="I140" s="34" t="s">
        <v>60</v>
      </c>
      <c r="J140">
        <v>73348</v>
      </c>
    </row>
    <row r="141" spans="1:10" x14ac:dyDescent="0.35">
      <c r="A141" s="34" t="s">
        <v>266</v>
      </c>
      <c r="B141" s="34" t="s">
        <v>54</v>
      </c>
      <c r="C141" s="34" t="s">
        <v>34</v>
      </c>
      <c r="D141" s="34" t="s">
        <v>64</v>
      </c>
      <c r="E141">
        <v>73348</v>
      </c>
      <c r="F141" s="36">
        <v>42981</v>
      </c>
      <c r="G141">
        <v>2</v>
      </c>
      <c r="H141" s="34" t="s">
        <v>295</v>
      </c>
      <c r="I141" s="34" t="s">
        <v>171</v>
      </c>
      <c r="J141">
        <v>66280.929577464805</v>
      </c>
    </row>
    <row r="142" spans="1:10" x14ac:dyDescent="0.35">
      <c r="A142" s="34" t="s">
        <v>267</v>
      </c>
      <c r="B142" s="34" t="s">
        <v>41</v>
      </c>
      <c r="C142" s="34" t="s">
        <v>26</v>
      </c>
      <c r="D142" s="34" t="s">
        <v>27</v>
      </c>
      <c r="E142">
        <v>66280.929577464791</v>
      </c>
      <c r="F142" s="36">
        <v>42988</v>
      </c>
      <c r="G142">
        <v>4</v>
      </c>
      <c r="H142" s="34" t="s">
        <v>19</v>
      </c>
      <c r="I142" s="34" t="s">
        <v>14</v>
      </c>
      <c r="J142">
        <v>66882</v>
      </c>
    </row>
    <row r="143" spans="1:10" x14ac:dyDescent="0.35">
      <c r="A143" s="34" t="s">
        <v>268</v>
      </c>
      <c r="B143" s="34" t="s">
        <v>31</v>
      </c>
      <c r="C143" s="34" t="s">
        <v>42</v>
      </c>
      <c r="D143" s="34" t="s">
        <v>27</v>
      </c>
      <c r="E143">
        <v>66882</v>
      </c>
      <c r="F143" s="36">
        <v>42995</v>
      </c>
      <c r="G143">
        <v>5</v>
      </c>
      <c r="H143" s="34" t="s">
        <v>19</v>
      </c>
      <c r="I143" s="34" t="s">
        <v>85</v>
      </c>
      <c r="J143">
        <v>86775</v>
      </c>
    </row>
    <row r="144" spans="1:10" x14ac:dyDescent="0.35">
      <c r="A144" s="34" t="s">
        <v>269</v>
      </c>
      <c r="B144" s="34" t="s">
        <v>22</v>
      </c>
      <c r="C144" s="34" t="s">
        <v>42</v>
      </c>
      <c r="D144" s="34" t="s">
        <v>27</v>
      </c>
      <c r="E144">
        <v>86775</v>
      </c>
      <c r="F144" s="36">
        <v>43002</v>
      </c>
      <c r="G144">
        <v>3</v>
      </c>
      <c r="H144" s="34" t="s">
        <v>19</v>
      </c>
      <c r="I144" s="34" t="s">
        <v>95</v>
      </c>
      <c r="J144">
        <v>91620</v>
      </c>
    </row>
    <row r="145" spans="1:10" x14ac:dyDescent="0.35">
      <c r="A145" s="34" t="s">
        <v>270</v>
      </c>
      <c r="B145" s="34" t="s">
        <v>41</v>
      </c>
      <c r="C145" s="34" t="s">
        <v>26</v>
      </c>
      <c r="D145" s="34" t="s">
        <v>47</v>
      </c>
      <c r="E145">
        <v>91620</v>
      </c>
      <c r="F145" s="36">
        <v>43009</v>
      </c>
      <c r="G145">
        <v>3</v>
      </c>
      <c r="H145" s="34" t="s">
        <v>295</v>
      </c>
      <c r="I145" s="34" t="s">
        <v>271</v>
      </c>
      <c r="J145">
        <v>94148</v>
      </c>
    </row>
    <row r="146" spans="1:10" x14ac:dyDescent="0.35">
      <c r="A146" s="34" t="s">
        <v>272</v>
      </c>
      <c r="B146" s="34" t="s">
        <v>16</v>
      </c>
      <c r="C146" s="34" t="s">
        <v>26</v>
      </c>
      <c r="D146" s="34" t="s">
        <v>47</v>
      </c>
      <c r="E146">
        <v>94148</v>
      </c>
      <c r="F146" s="36">
        <v>43016</v>
      </c>
      <c r="G146">
        <v>2</v>
      </c>
      <c r="H146" s="34" t="s">
        <v>295</v>
      </c>
      <c r="I146" s="34" t="s">
        <v>273</v>
      </c>
      <c r="J146">
        <v>35627</v>
      </c>
    </row>
    <row r="147" spans="1:10" x14ac:dyDescent="0.35">
      <c r="A147" s="34" t="s">
        <v>274</v>
      </c>
      <c r="B147" s="34" t="s">
        <v>39</v>
      </c>
      <c r="C147" s="34" t="s">
        <v>26</v>
      </c>
      <c r="D147" s="34" t="s">
        <v>64</v>
      </c>
      <c r="E147">
        <v>35627</v>
      </c>
      <c r="F147" s="36">
        <v>43023</v>
      </c>
      <c r="G147">
        <v>5</v>
      </c>
      <c r="H147" s="34" t="s">
        <v>36</v>
      </c>
      <c r="I147" s="34" t="s">
        <v>258</v>
      </c>
      <c r="J147">
        <v>57141</v>
      </c>
    </row>
    <row r="148" spans="1:10" x14ac:dyDescent="0.35">
      <c r="A148" s="34" t="s">
        <v>275</v>
      </c>
      <c r="B148" s="34" t="s">
        <v>25</v>
      </c>
      <c r="C148" s="34" t="s">
        <v>42</v>
      </c>
      <c r="D148" s="34" t="s">
        <v>27</v>
      </c>
      <c r="E148">
        <v>57141</v>
      </c>
      <c r="F148" s="36">
        <v>43030</v>
      </c>
      <c r="G148">
        <v>2</v>
      </c>
      <c r="H148" s="34" t="s">
        <v>295</v>
      </c>
      <c r="I148" s="34" t="s">
        <v>264</v>
      </c>
      <c r="J148">
        <v>65270</v>
      </c>
    </row>
    <row r="149" spans="1:10" x14ac:dyDescent="0.35">
      <c r="A149" s="34" t="s">
        <v>276</v>
      </c>
      <c r="B149" s="34" t="s">
        <v>54</v>
      </c>
      <c r="C149" s="34" t="s">
        <v>26</v>
      </c>
      <c r="D149" s="34" t="s">
        <v>64</v>
      </c>
      <c r="E149">
        <v>65270</v>
      </c>
      <c r="F149" s="36">
        <v>43037</v>
      </c>
      <c r="G149">
        <v>1</v>
      </c>
      <c r="H149" s="34" t="s">
        <v>295</v>
      </c>
      <c r="I149" s="34" t="s">
        <v>277</v>
      </c>
      <c r="J149">
        <v>67335</v>
      </c>
    </row>
    <row r="150" spans="1:10" x14ac:dyDescent="0.35">
      <c r="A150" s="34" t="s">
        <v>278</v>
      </c>
      <c r="B150" s="34" t="s">
        <v>54</v>
      </c>
      <c r="C150" s="34" t="s">
        <v>26</v>
      </c>
      <c r="D150" s="34" t="s">
        <v>47</v>
      </c>
      <c r="E150">
        <v>67335</v>
      </c>
      <c r="F150" s="36">
        <v>43044</v>
      </c>
      <c r="G150">
        <v>1</v>
      </c>
      <c r="H150" s="34" t="s">
        <v>19</v>
      </c>
      <c r="I150" s="34" t="s">
        <v>144</v>
      </c>
      <c r="J150">
        <v>98475</v>
      </c>
    </row>
    <row r="151" spans="1:10" x14ac:dyDescent="0.35">
      <c r="A151" s="34" t="s">
        <v>279</v>
      </c>
      <c r="B151" s="34" t="s">
        <v>39</v>
      </c>
      <c r="C151" s="34" t="s">
        <v>42</v>
      </c>
      <c r="D151" s="34" t="s">
        <v>35</v>
      </c>
      <c r="E151">
        <v>98475</v>
      </c>
      <c r="F151" s="36">
        <v>43051</v>
      </c>
      <c r="G151">
        <v>5</v>
      </c>
      <c r="H151" s="34" t="s">
        <v>19</v>
      </c>
      <c r="I151" s="34" t="s">
        <v>280</v>
      </c>
      <c r="J151">
        <v>98475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3905-766E-424A-9086-7BC62B44098E}">
  <dimension ref="A1:F15"/>
  <sheetViews>
    <sheetView tabSelected="1" workbookViewId="0">
      <selection activeCell="H2" sqref="H2"/>
    </sheetView>
  </sheetViews>
  <sheetFormatPr defaultRowHeight="14.5" x14ac:dyDescent="0.35"/>
  <cols>
    <col min="1" max="1" width="13.08984375" bestFit="1" customWidth="1"/>
    <col min="2" max="2" width="8.1796875" bestFit="1" customWidth="1"/>
    <col min="6" max="6" width="59.26953125" customWidth="1"/>
  </cols>
  <sheetData>
    <row r="1" spans="1:6" x14ac:dyDescent="0.35">
      <c r="A1" t="s">
        <v>2</v>
      </c>
      <c r="B1" t="s">
        <v>290</v>
      </c>
    </row>
    <row r="2" spans="1:6" x14ac:dyDescent="0.35">
      <c r="A2" s="34" t="s">
        <v>12</v>
      </c>
      <c r="B2">
        <v>26</v>
      </c>
    </row>
    <row r="3" spans="1:6" x14ac:dyDescent="0.35">
      <c r="A3" s="34" t="s">
        <v>17</v>
      </c>
      <c r="B3">
        <v>27</v>
      </c>
    </row>
    <row r="4" spans="1:6" x14ac:dyDescent="0.35">
      <c r="A4" s="34" t="s">
        <v>26</v>
      </c>
      <c r="B4">
        <v>34</v>
      </c>
    </row>
    <row r="5" spans="1:6" x14ac:dyDescent="0.35">
      <c r="A5" s="34" t="s">
        <v>34</v>
      </c>
      <c r="B5">
        <v>31</v>
      </c>
    </row>
    <row r="6" spans="1:6" x14ac:dyDescent="0.35">
      <c r="A6" s="34" t="s">
        <v>42</v>
      </c>
      <c r="B6">
        <v>32</v>
      </c>
    </row>
    <row r="10" spans="1:6" x14ac:dyDescent="0.35">
      <c r="F10" s="35" t="s">
        <v>282</v>
      </c>
    </row>
    <row r="11" spans="1:6" x14ac:dyDescent="0.35">
      <c r="F11" s="7" t="s">
        <v>291</v>
      </c>
    </row>
    <row r="12" spans="1:6" x14ac:dyDescent="0.35">
      <c r="F12" s="7" t="s">
        <v>292</v>
      </c>
    </row>
    <row r="13" spans="1:6" x14ac:dyDescent="0.35">
      <c r="F13" s="7" t="s">
        <v>293</v>
      </c>
    </row>
    <row r="14" spans="1:6" x14ac:dyDescent="0.35">
      <c r="F14" s="7" t="s">
        <v>294</v>
      </c>
    </row>
    <row r="15" spans="1:6" x14ac:dyDescent="0.35">
      <c r="F15" s="7" t="s">
        <v>296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133430-B138-4064-8BE1-620C7A540C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 data</vt:lpstr>
      <vt:lpstr>Description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Selvaraj, Sumathi</dc:creator>
  <cp:lastModifiedBy>Selvaraj, Sumathi</cp:lastModifiedBy>
  <dcterms:created xsi:type="dcterms:W3CDTF">2025-11-23T09:38:36Z</dcterms:created>
  <dcterms:modified xsi:type="dcterms:W3CDTF">2025-11-23T10:32:06Z</dcterms:modified>
</cp:coreProperties>
</file>